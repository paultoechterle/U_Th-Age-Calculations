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7151050\Documents\Google Drive\PhD\Data\Dating\Templates\"/>
    </mc:Choice>
  </mc:AlternateContent>
  <bookViews>
    <workbookView xWindow="-105" yWindow="-105" windowWidth="23250" windowHeight="12720" tabRatio="933"/>
  </bookViews>
  <sheets>
    <sheet name="Table" sheetId="351" r:id="rId1"/>
    <sheet name="1" sheetId="376" r:id="rId2"/>
    <sheet name="1-th" sheetId="364" r:id="rId3"/>
    <sheet name="1-u" sheetId="349" r:id="rId4"/>
    <sheet name="112a-D-III-spike" sheetId="406" r:id="rId5"/>
    <sheet name="1 (2)" sheetId="407" r:id="rId6"/>
    <sheet name="Module" sheetId="2" state="veryHidden" r:id=""/>
  </sheets>
  <definedNames>
    <definedName name="_xlnm.Print_Area" localSheetId="1">'1'!$A$1:$K$66</definedName>
    <definedName name="_xlnm.Print_Area" localSheetId="5">'1 (2)'!$A$1:$K$66</definedName>
    <definedName name="solver_adj" localSheetId="1" hidden="1">'1'!#REF!</definedName>
    <definedName name="solver_adj" localSheetId="5" hidden="1">'1 (2)'!#REF!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1000</definedName>
    <definedName name="solver_itr" localSheetId="5" hidden="1">1000</definedName>
    <definedName name="solver_lin" localSheetId="1" hidden="1">0</definedName>
    <definedName name="solver_lin" localSheetId="5" hidden="1">0</definedName>
    <definedName name="solver_num" localSheetId="1" hidden="1">0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'1'!#REF!</definedName>
    <definedName name="solver_opt" localSheetId="5" hidden="1">'1 (2)'!#REF!</definedName>
    <definedName name="solver_pre" localSheetId="1" hidden="1">0.0000001</definedName>
    <definedName name="solver_pre" localSheetId="5" hidden="1">0.0000001</definedName>
    <definedName name="solver_scl" localSheetId="1" hidden="1">1</definedName>
    <definedName name="solver_scl" localSheetId="5" hidden="1">1</definedName>
    <definedName name="solver_sho" localSheetId="1" hidden="1">0</definedName>
    <definedName name="solver_sho" localSheetId="5" hidden="1">0</definedName>
    <definedName name="solver_tim" localSheetId="1" hidden="1">1000</definedName>
    <definedName name="solver_tim" localSheetId="5" hidden="1">1000</definedName>
    <definedName name="solver_tol" localSheetId="1" hidden="1">0.00005</definedName>
    <definedName name="solver_tol" localSheetId="5" hidden="1">0.00005</definedName>
    <definedName name="solver_typ" localSheetId="1" hidden="1">3</definedName>
    <definedName name="solver_typ" localSheetId="5" hidden="1">3</definedName>
    <definedName name="solver_val" localSheetId="1" hidden="1">1</definedName>
    <definedName name="solver_val" localSheetId="5" hidden="1">1</definedName>
  </definedNames>
  <calcPr calcId="162913" iterate="1" iterateCount="150" iterateDelta="9.9999999999999994E-1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8" i="407" l="1"/>
  <c r="I40" i="407"/>
  <c r="T15" i="351"/>
  <c r="S15" i="351"/>
  <c r="T14" i="351"/>
  <c r="S14" i="351"/>
  <c r="T13" i="351"/>
  <c r="S13" i="351"/>
  <c r="T12" i="351"/>
  <c r="S12" i="351"/>
  <c r="T11" i="351"/>
  <c r="S11" i="351"/>
  <c r="T10" i="351"/>
  <c r="S10" i="351"/>
  <c r="T9" i="351"/>
  <c r="S9" i="351"/>
  <c r="T8" i="351"/>
  <c r="S8" i="351"/>
  <c r="T7" i="351"/>
  <c r="S7" i="351"/>
  <c r="C55" i="407" l="1"/>
  <c r="D55" i="407"/>
  <c r="F58" i="407"/>
  <c r="F57" i="407"/>
  <c r="D56" i="407"/>
  <c r="I38" i="407"/>
  <c r="F54" i="407" l="1"/>
  <c r="K65" i="407"/>
  <c r="J65" i="407"/>
  <c r="I65" i="407"/>
  <c r="N75" i="407" s="1"/>
  <c r="K63" i="407"/>
  <c r="J63" i="407"/>
  <c r="I63" i="407"/>
  <c r="L75" i="407" s="1"/>
  <c r="H54" i="407"/>
  <c r="J51" i="407"/>
  <c r="J49" i="407"/>
  <c r="D37" i="407"/>
  <c r="D36" i="407"/>
  <c r="E25" i="407"/>
  <c r="D24" i="407"/>
  <c r="E24" i="407" s="1"/>
  <c r="I23" i="407"/>
  <c r="E23" i="407"/>
  <c r="E22" i="407"/>
  <c r="D22" i="407"/>
  <c r="I35" i="407" s="1"/>
  <c r="I36" i="407" s="1"/>
  <c r="I20" i="407"/>
  <c r="F18" i="407"/>
  <c r="F17" i="407"/>
  <c r="E16" i="407"/>
  <c r="E29" i="407" s="1"/>
  <c r="D16" i="407"/>
  <c r="D29" i="407" s="1"/>
  <c r="I14" i="407"/>
  <c r="I28" i="407" s="1"/>
  <c r="I29" i="407" s="1"/>
  <c r="I30" i="407" s="1"/>
  <c r="I31" i="407" s="1"/>
  <c r="I32" i="407" s="1"/>
  <c r="L33" i="407" s="1"/>
  <c r="K12" i="407"/>
  <c r="K11" i="407"/>
  <c r="I11" i="407"/>
  <c r="F11" i="407"/>
  <c r="C7" i="407"/>
  <c r="B7" i="407"/>
  <c r="C2" i="407"/>
  <c r="A75" i="407" s="1"/>
  <c r="J1" i="407"/>
  <c r="F48" i="407" l="1"/>
  <c r="D38" i="407"/>
  <c r="D39" i="407" s="1"/>
  <c r="I22" i="407"/>
  <c r="I25" i="407" s="1"/>
  <c r="I37" i="407"/>
  <c r="I39" i="407" s="1"/>
  <c r="I57" i="407" s="1"/>
  <c r="D75" i="407" s="1"/>
  <c r="C62" i="407"/>
  <c r="O75" i="407"/>
  <c r="M75" i="407"/>
  <c r="I18" i="407"/>
  <c r="C64" i="407"/>
  <c r="F22" i="407"/>
  <c r="K35" i="407" s="1"/>
  <c r="I59" i="407"/>
  <c r="B75" i="407" s="1"/>
  <c r="D40" i="407"/>
  <c r="D41" i="407" s="1"/>
  <c r="D45" i="407" s="1"/>
  <c r="D30" i="407"/>
  <c r="D28" i="407"/>
  <c r="I13" i="407" s="1"/>
  <c r="I17" i="407" s="1"/>
  <c r="I24" i="407"/>
  <c r="E35" i="407" s="1"/>
  <c r="F35" i="407" s="1"/>
  <c r="J42" i="407"/>
  <c r="I16" i="407"/>
  <c r="K28" i="407" s="1"/>
  <c r="J28" i="407" s="1"/>
  <c r="J29" i="407" s="1"/>
  <c r="F16" i="407"/>
  <c r="J35" i="407"/>
  <c r="J36" i="407" s="1"/>
  <c r="K36" i="407" s="1"/>
  <c r="J14" i="407"/>
  <c r="D44" i="407" l="1"/>
  <c r="I44" i="407" s="1"/>
  <c r="F28" i="407"/>
  <c r="E28" i="407" s="1"/>
  <c r="D31" i="407"/>
  <c r="K29" i="407"/>
  <c r="J30" i="407"/>
  <c r="K30" i="407" s="1"/>
  <c r="K31" i="407" s="1"/>
  <c r="J31" i="407" s="1"/>
  <c r="J32" i="407" s="1"/>
  <c r="J37" i="407"/>
  <c r="D65" i="407"/>
  <c r="D63" i="407"/>
  <c r="G63" i="407" s="1"/>
  <c r="D42" i="407"/>
  <c r="I56" i="407" s="1"/>
  <c r="E36" i="407"/>
  <c r="F29" i="407"/>
  <c r="F30" i="407" s="1"/>
  <c r="I61" i="407" l="1"/>
  <c r="H75" i="407" s="1"/>
  <c r="D32" i="407"/>
  <c r="D33" i="407" s="1"/>
  <c r="I60" i="407"/>
  <c r="G65" i="407"/>
  <c r="I66" i="407"/>
  <c r="P75" i="407" s="1"/>
  <c r="I41" i="407"/>
  <c r="F75" i="407"/>
  <c r="J59" i="407"/>
  <c r="C75" i="407" s="1"/>
  <c r="K32" i="407"/>
  <c r="E37" i="407"/>
  <c r="F36" i="407"/>
  <c r="D46" i="407"/>
  <c r="I46" i="407" s="1"/>
  <c r="F31" i="407"/>
  <c r="E30" i="407"/>
  <c r="K37" i="407"/>
  <c r="J38" i="407"/>
  <c r="I11" i="376"/>
  <c r="E38" i="407" l="1"/>
  <c r="F37" i="407"/>
  <c r="F32" i="407"/>
  <c r="E32" i="407" s="1"/>
  <c r="E33" i="407" s="1"/>
  <c r="E31" i="407"/>
  <c r="I62" i="407"/>
  <c r="J75" i="407" s="1"/>
  <c r="K39" i="407"/>
  <c r="K38" i="407"/>
  <c r="J39" i="407" s="1"/>
  <c r="J57" i="407" s="1"/>
  <c r="E75" i="407" s="1"/>
  <c r="K65" i="376"/>
  <c r="J65" i="376"/>
  <c r="F44" i="407" l="1"/>
  <c r="F33" i="407"/>
  <c r="J33" i="407"/>
  <c r="F38" i="407"/>
  <c r="E39" i="407"/>
  <c r="I65" i="376"/>
  <c r="F54" i="376"/>
  <c r="I63" i="376"/>
  <c r="J63" i="376"/>
  <c r="K63" i="376"/>
  <c r="F61" i="407" l="1"/>
  <c r="F60" i="407"/>
  <c r="F52" i="407"/>
  <c r="F51" i="407"/>
  <c r="E40" i="407"/>
  <c r="F39" i="407"/>
  <c r="J61" i="407"/>
  <c r="I75" i="407" s="1"/>
  <c r="K66" i="407"/>
  <c r="J66" i="407"/>
  <c r="K60" i="407"/>
  <c r="J60" i="407"/>
  <c r="E44" i="407"/>
  <c r="J44" i="407"/>
  <c r="K44" i="407" s="1"/>
  <c r="E16" i="376"/>
  <c r="D16" i="376"/>
  <c r="D29" i="376" s="1"/>
  <c r="I23" i="376"/>
  <c r="E22" i="376"/>
  <c r="D22" i="376"/>
  <c r="I20" i="376"/>
  <c r="E25" i="376"/>
  <c r="D24" i="376"/>
  <c r="E24" i="376" s="1"/>
  <c r="E23" i="376"/>
  <c r="I14" i="376"/>
  <c r="Q75" i="407" l="1"/>
  <c r="D28" i="376"/>
  <c r="D30" i="376"/>
  <c r="D31" i="376" s="1"/>
  <c r="E29" i="376"/>
  <c r="F16" i="376"/>
  <c r="I13" i="376"/>
  <c r="J14" i="376"/>
  <c r="F40" i="407"/>
  <c r="E41" i="407"/>
  <c r="F22" i="376"/>
  <c r="I22" i="376"/>
  <c r="I25" i="376" s="1"/>
  <c r="I24" i="376"/>
  <c r="K11" i="376"/>
  <c r="F17" i="376"/>
  <c r="F11" i="376"/>
  <c r="E23" i="349"/>
  <c r="B19" i="349" s="1"/>
  <c r="K24" i="349"/>
  <c r="C18" i="349" s="1"/>
  <c r="C7" i="376"/>
  <c r="J49" i="376"/>
  <c r="C64" i="376" l="1"/>
  <c r="C62" i="376"/>
  <c r="E42" i="407"/>
  <c r="F41" i="407"/>
  <c r="E56" i="407"/>
  <c r="C55" i="376"/>
  <c r="D55" i="376" s="1"/>
  <c r="I16" i="376"/>
  <c r="I28" i="376"/>
  <c r="I29" i="376" s="1"/>
  <c r="K23" i="349"/>
  <c r="K25" i="349"/>
  <c r="K26" i="349" s="1"/>
  <c r="E24" i="349"/>
  <c r="B18" i="349" s="1"/>
  <c r="K12" i="376"/>
  <c r="I18" i="376" s="1"/>
  <c r="J51" i="376"/>
  <c r="R25" i="349"/>
  <c r="Q25" i="349"/>
  <c r="Q26" i="349" s="1"/>
  <c r="P25" i="349"/>
  <c r="O25" i="349"/>
  <c r="R24" i="349"/>
  <c r="Q24" i="349"/>
  <c r="P24" i="349"/>
  <c r="O24" i="349"/>
  <c r="R23" i="349"/>
  <c r="Q23" i="349"/>
  <c r="P23" i="349"/>
  <c r="O23" i="349"/>
  <c r="D32" i="376" l="1"/>
  <c r="D33" i="376" s="1"/>
  <c r="I33" i="376" s="1"/>
  <c r="F59" i="407"/>
  <c r="F45" i="407"/>
  <c r="K40" i="407"/>
  <c r="F56" i="407"/>
  <c r="J56" i="407"/>
  <c r="F42" i="407"/>
  <c r="O26" i="349"/>
  <c r="O27" i="349" s="1"/>
  <c r="P26" i="349"/>
  <c r="P27" i="349" s="1"/>
  <c r="I30" i="376"/>
  <c r="I31" i="376" s="1"/>
  <c r="I32" i="376" s="1"/>
  <c r="K27" i="349"/>
  <c r="R26" i="349"/>
  <c r="R27" i="349" s="1"/>
  <c r="Q27" i="349"/>
  <c r="D37" i="376"/>
  <c r="B7" i="406"/>
  <c r="B7" i="349"/>
  <c r="R1004" i="406"/>
  <c r="R1003" i="406"/>
  <c r="R1002" i="406"/>
  <c r="Q1004" i="406"/>
  <c r="Q1003" i="406"/>
  <c r="Q1002" i="406"/>
  <c r="P1004" i="406"/>
  <c r="P1003" i="406"/>
  <c r="P1002" i="406"/>
  <c r="O1004" i="406"/>
  <c r="O1003" i="406"/>
  <c r="O1002" i="406"/>
  <c r="L1004" i="406"/>
  <c r="L1003" i="406"/>
  <c r="L1002" i="406"/>
  <c r="K1004" i="406"/>
  <c r="K1003" i="406"/>
  <c r="C18" i="406" s="1"/>
  <c r="K1002" i="406"/>
  <c r="B10" i="406" s="1"/>
  <c r="J1004" i="406"/>
  <c r="J1003" i="406"/>
  <c r="J1002" i="406"/>
  <c r="B9" i="406" s="1"/>
  <c r="I1004" i="406"/>
  <c r="I1003" i="406"/>
  <c r="I1002" i="406"/>
  <c r="B4" i="406" s="1"/>
  <c r="H1004" i="406"/>
  <c r="H1003" i="406"/>
  <c r="H1002" i="406"/>
  <c r="G1004" i="406"/>
  <c r="G1003" i="406"/>
  <c r="G1002" i="406"/>
  <c r="F1004" i="406"/>
  <c r="F1003" i="406"/>
  <c r="F1002" i="406"/>
  <c r="E1004" i="406"/>
  <c r="E1003" i="406"/>
  <c r="B18" i="406" s="1"/>
  <c r="E1002" i="406"/>
  <c r="B19" i="406" s="1"/>
  <c r="B28" i="406"/>
  <c r="B29" i="406" s="1"/>
  <c r="D25" i="406"/>
  <c r="S23" i="364"/>
  <c r="S22" i="364"/>
  <c r="B23" i="364" s="1"/>
  <c r="S21" i="364"/>
  <c r="S16" i="351"/>
  <c r="T16" i="351"/>
  <c r="S17" i="351"/>
  <c r="T17" i="351"/>
  <c r="S18" i="351"/>
  <c r="T18" i="351"/>
  <c r="S19" i="351"/>
  <c r="T19" i="351"/>
  <c r="S20" i="351"/>
  <c r="T20" i="351"/>
  <c r="S21" i="351"/>
  <c r="T21" i="351"/>
  <c r="S22" i="351"/>
  <c r="T22" i="351"/>
  <c r="S23" i="351"/>
  <c r="T23" i="351"/>
  <c r="S24" i="351"/>
  <c r="T24" i="351"/>
  <c r="S6" i="351"/>
  <c r="I35" i="376"/>
  <c r="I36" i="376" s="1"/>
  <c r="D36" i="376"/>
  <c r="T6" i="351"/>
  <c r="N23" i="364"/>
  <c r="N22" i="364"/>
  <c r="C23" i="364" s="1"/>
  <c r="N21" i="364"/>
  <c r="B10" i="364" s="1"/>
  <c r="I17" i="376"/>
  <c r="N75" i="376"/>
  <c r="L75" i="376"/>
  <c r="C2" i="376"/>
  <c r="A75" i="376" s="1"/>
  <c r="H54" i="376"/>
  <c r="F18" i="376"/>
  <c r="B7" i="376"/>
  <c r="J1" i="376"/>
  <c r="P23" i="364"/>
  <c r="P22" i="364"/>
  <c r="P21" i="364"/>
  <c r="B12" i="364" s="1"/>
  <c r="O23" i="364"/>
  <c r="O22" i="364"/>
  <c r="O21" i="364"/>
  <c r="B11" i="364" s="1"/>
  <c r="M23" i="364"/>
  <c r="M22" i="364"/>
  <c r="M21" i="364"/>
  <c r="B21" i="364" s="1"/>
  <c r="L23" i="364"/>
  <c r="L22" i="364"/>
  <c r="H21" i="364" s="1"/>
  <c r="L21" i="364"/>
  <c r="B20" i="364" s="1"/>
  <c r="G21" i="364" s="1"/>
  <c r="J23" i="364"/>
  <c r="J22" i="364"/>
  <c r="J21" i="364"/>
  <c r="B31" i="364"/>
  <c r="B29" i="364"/>
  <c r="B30" i="364" s="1"/>
  <c r="B7" i="364"/>
  <c r="D3" i="364"/>
  <c r="D5" i="364"/>
  <c r="D4" i="364"/>
  <c r="B28" i="349"/>
  <c r="B29" i="349" s="1"/>
  <c r="I23" i="349"/>
  <c r="B4" i="349" s="1"/>
  <c r="J23" i="349"/>
  <c r="B9" i="349" s="1"/>
  <c r="B10" i="349"/>
  <c r="I25" i="349"/>
  <c r="I24" i="349"/>
  <c r="J25" i="349"/>
  <c r="J24" i="349"/>
  <c r="L25" i="349"/>
  <c r="L24" i="349"/>
  <c r="L23" i="349"/>
  <c r="D25" i="349"/>
  <c r="F23" i="349"/>
  <c r="G23" i="349"/>
  <c r="H23" i="349"/>
  <c r="F24" i="349"/>
  <c r="G24" i="349"/>
  <c r="H24" i="349"/>
  <c r="H25" i="349"/>
  <c r="F25" i="349"/>
  <c r="G25" i="349"/>
  <c r="E25" i="349"/>
  <c r="F29" i="376" l="1"/>
  <c r="F28" i="376"/>
  <c r="E28" i="376" s="1"/>
  <c r="J41" i="407"/>
  <c r="K41" i="407" s="1"/>
  <c r="J40" i="407"/>
  <c r="J58" i="407" s="1"/>
  <c r="G75" i="407" s="1"/>
  <c r="E45" i="407"/>
  <c r="F46" i="407"/>
  <c r="J45" i="407"/>
  <c r="I66" i="376"/>
  <c r="I60" i="376"/>
  <c r="J24" i="364"/>
  <c r="J25" i="364" s="1"/>
  <c r="P24" i="364"/>
  <c r="P25" i="364" s="1"/>
  <c r="D12" i="364" s="1"/>
  <c r="C12" i="364" s="1"/>
  <c r="J1005" i="406"/>
  <c r="C9" i="406" s="1"/>
  <c r="D9" i="406" s="1"/>
  <c r="O1005" i="406"/>
  <c r="O1006" i="406" s="1"/>
  <c r="I61" i="376"/>
  <c r="H1005" i="406"/>
  <c r="H1006" i="406" s="1"/>
  <c r="R1005" i="406"/>
  <c r="R1006" i="406" s="1"/>
  <c r="L1005" i="406"/>
  <c r="L1006" i="406" s="1"/>
  <c r="F1005" i="406"/>
  <c r="F1006" i="406" s="1"/>
  <c r="S24" i="364"/>
  <c r="S25" i="364" s="1"/>
  <c r="I59" i="376"/>
  <c r="J35" i="376"/>
  <c r="J36" i="376" s="1"/>
  <c r="L24" i="364"/>
  <c r="L25" i="364" s="1"/>
  <c r="J42" i="376"/>
  <c r="G1005" i="406"/>
  <c r="G1006" i="406" s="1"/>
  <c r="O24" i="364"/>
  <c r="O25" i="364" s="1"/>
  <c r="D11" i="364" s="1"/>
  <c r="B14" i="364"/>
  <c r="I1005" i="406"/>
  <c r="I1006" i="406" s="1"/>
  <c r="F26" i="349"/>
  <c r="F27" i="349" s="1"/>
  <c r="B6" i="364"/>
  <c r="B8" i="364" s="1"/>
  <c r="B6" i="406"/>
  <c r="B13" i="406" s="1"/>
  <c r="K1005" i="406"/>
  <c r="C10" i="406" s="1"/>
  <c r="D10" i="406" s="1"/>
  <c r="Q1005" i="406"/>
  <c r="Q1006" i="406" s="1"/>
  <c r="J26" i="349"/>
  <c r="C9" i="349" s="1"/>
  <c r="D9" i="349" s="1"/>
  <c r="B22" i="406"/>
  <c r="I37" i="376"/>
  <c r="I38" i="376" s="1"/>
  <c r="M75" i="376"/>
  <c r="B15" i="364"/>
  <c r="N24" i="364"/>
  <c r="C10" i="364" s="1"/>
  <c r="D10" i="364" s="1"/>
  <c r="E1005" i="406"/>
  <c r="E1006" i="406" s="1"/>
  <c r="P1005" i="406"/>
  <c r="P1006" i="406" s="1"/>
  <c r="B25" i="364"/>
  <c r="J37" i="376"/>
  <c r="E26" i="349"/>
  <c r="E27" i="349" s="1"/>
  <c r="O75" i="376"/>
  <c r="K28" i="376"/>
  <c r="J28" i="376" s="1"/>
  <c r="J29" i="376" s="1"/>
  <c r="G26" i="349"/>
  <c r="G27" i="349" s="1"/>
  <c r="E35" i="376"/>
  <c r="E36" i="376" s="1"/>
  <c r="L26" i="349"/>
  <c r="C24" i="349" s="1"/>
  <c r="H26" i="349"/>
  <c r="H27" i="349" s="1"/>
  <c r="M24" i="364"/>
  <c r="M25" i="364" s="1"/>
  <c r="I26" i="349"/>
  <c r="C4" i="349" s="1"/>
  <c r="D4" i="349" s="1"/>
  <c r="B22" i="349"/>
  <c r="B6" i="349"/>
  <c r="D7" i="349" s="1"/>
  <c r="K36" i="376"/>
  <c r="D38" i="376"/>
  <c r="D39" i="376" s="1"/>
  <c r="F49" i="407" l="1"/>
  <c r="F50" i="407"/>
  <c r="E46" i="407"/>
  <c r="J46" i="407"/>
  <c r="K46" i="407" s="1"/>
  <c r="K45" i="407"/>
  <c r="J62" i="407"/>
  <c r="K75" i="407" s="1"/>
  <c r="C24" i="406"/>
  <c r="J1006" i="406"/>
  <c r="C6" i="364"/>
  <c r="D6" i="364" s="1"/>
  <c r="C4" i="406"/>
  <c r="D4" i="406" s="1"/>
  <c r="C6" i="406" s="1"/>
  <c r="D6" i="406" s="1"/>
  <c r="B17" i="364"/>
  <c r="E20" i="364" s="1"/>
  <c r="E3" i="364"/>
  <c r="B12" i="406"/>
  <c r="B16" i="406" s="1"/>
  <c r="B5" i="406" s="1"/>
  <c r="C15" i="364"/>
  <c r="D15" i="364" s="1"/>
  <c r="D7" i="406"/>
  <c r="B24" i="406"/>
  <c r="D24" i="406" s="1"/>
  <c r="N25" i="364"/>
  <c r="B18" i="364"/>
  <c r="E21" i="364" s="1"/>
  <c r="I39" i="376"/>
  <c r="D44" i="376"/>
  <c r="I44" i="376" s="1"/>
  <c r="B75" i="376"/>
  <c r="C14" i="364"/>
  <c r="D14" i="364" s="1"/>
  <c r="B12" i="349"/>
  <c r="B16" i="349" s="1"/>
  <c r="B8" i="406"/>
  <c r="K1006" i="406"/>
  <c r="P75" i="376"/>
  <c r="C11" i="364"/>
  <c r="J38" i="376"/>
  <c r="K39" i="376" s="1"/>
  <c r="K37" i="376"/>
  <c r="F30" i="376"/>
  <c r="L27" i="349"/>
  <c r="J27" i="349"/>
  <c r="K35" i="376"/>
  <c r="F35" i="376"/>
  <c r="C10" i="349"/>
  <c r="D10" i="349" s="1"/>
  <c r="I27" i="349"/>
  <c r="B24" i="349"/>
  <c r="D24" i="349" s="1"/>
  <c r="D40" i="376"/>
  <c r="D41" i="376" s="1"/>
  <c r="B13" i="349"/>
  <c r="F36" i="376"/>
  <c r="E37" i="376"/>
  <c r="C13" i="406"/>
  <c r="D13" i="406" s="1"/>
  <c r="B14" i="406"/>
  <c r="B15" i="406" s="1"/>
  <c r="B8" i="349"/>
  <c r="C6" i="349"/>
  <c r="D6" i="349" s="1"/>
  <c r="J30" i="376"/>
  <c r="K30" i="376" s="1"/>
  <c r="K31" i="376" s="1"/>
  <c r="J31" i="376" s="1"/>
  <c r="J32" i="376" s="1"/>
  <c r="K29" i="376"/>
  <c r="F31" i="376" l="1"/>
  <c r="E31" i="376" s="1"/>
  <c r="E30" i="376"/>
  <c r="D45" i="376"/>
  <c r="I45" i="376" s="1"/>
  <c r="F48" i="376" s="1"/>
  <c r="D42" i="376"/>
  <c r="I56" i="376" s="1"/>
  <c r="D65" i="376"/>
  <c r="G65" i="376" s="1"/>
  <c r="D63" i="376"/>
  <c r="G63" i="376" s="1"/>
  <c r="D56" i="376"/>
  <c r="C18" i="364"/>
  <c r="F21" i="364" s="1"/>
  <c r="C17" i="364"/>
  <c r="D17" i="364" s="1"/>
  <c r="I57" i="376"/>
  <c r="D75" i="376" s="1"/>
  <c r="C12" i="406"/>
  <c r="D12" i="406" s="1"/>
  <c r="F44" i="376"/>
  <c r="E44" i="376" s="1"/>
  <c r="I40" i="376"/>
  <c r="H75" i="376"/>
  <c r="K38" i="376"/>
  <c r="J39" i="376" s="1"/>
  <c r="B14" i="349"/>
  <c r="C13" i="349"/>
  <c r="D13" i="349" s="1"/>
  <c r="J59" i="376"/>
  <c r="C75" i="376" s="1"/>
  <c r="K32" i="376"/>
  <c r="C14" i="406"/>
  <c r="D14" i="406" s="1"/>
  <c r="B17" i="406"/>
  <c r="C17" i="406" s="1"/>
  <c r="C26" i="406" s="1"/>
  <c r="B26" i="406"/>
  <c r="F37" i="376"/>
  <c r="E38" i="376"/>
  <c r="C12" i="349"/>
  <c r="B5" i="349"/>
  <c r="F20" i="364" l="1"/>
  <c r="D18" i="364"/>
  <c r="F57" i="376"/>
  <c r="C16" i="406"/>
  <c r="C5" i="406" s="1"/>
  <c r="I58" i="376"/>
  <c r="F75" i="376" s="1"/>
  <c r="J57" i="376"/>
  <c r="E75" i="376" s="1"/>
  <c r="I62" i="376"/>
  <c r="D46" i="376"/>
  <c r="I46" i="376" s="1"/>
  <c r="F38" i="376"/>
  <c r="E39" i="376"/>
  <c r="J44" i="376"/>
  <c r="K44" i="376" s="1"/>
  <c r="C16" i="349"/>
  <c r="C5" i="349" s="1"/>
  <c r="D12" i="349"/>
  <c r="I41" i="376"/>
  <c r="B17" i="349"/>
  <c r="C17" i="349" s="1"/>
  <c r="C26" i="349" s="1"/>
  <c r="C14" i="349"/>
  <c r="D14" i="349" s="1"/>
  <c r="B26" i="349"/>
  <c r="B15" i="349"/>
  <c r="F32" i="376" l="1"/>
  <c r="E32" i="376" s="1"/>
  <c r="E33" i="376" s="1"/>
  <c r="J33" i="376" s="1"/>
  <c r="J75" i="376"/>
  <c r="E40" i="376"/>
  <c r="F39" i="376"/>
  <c r="F40" i="376" l="1"/>
  <c r="E41" i="376"/>
  <c r="E56" i="376" l="1"/>
  <c r="F56" i="376" s="1"/>
  <c r="F33" i="376"/>
  <c r="F41" i="376"/>
  <c r="E42" i="376"/>
  <c r="J56" i="376" s="1"/>
  <c r="F58" i="376" l="1"/>
  <c r="F59" i="376"/>
  <c r="J61" i="376"/>
  <c r="I75" i="376" s="1"/>
  <c r="F60" i="376"/>
  <c r="F61" i="376"/>
  <c r="F51" i="376"/>
  <c r="K60" i="376"/>
  <c r="J60" i="376"/>
  <c r="J66" i="376"/>
  <c r="K66" i="376"/>
  <c r="F52" i="376"/>
  <c r="F42" i="376"/>
  <c r="F45" i="376"/>
  <c r="K40" i="376"/>
  <c r="Q75" i="376" l="1"/>
  <c r="J40" i="376"/>
  <c r="J41" i="376"/>
  <c r="K41" i="376" s="1"/>
  <c r="J45" i="376"/>
  <c r="F49" i="376" s="1"/>
  <c r="E45" i="376"/>
  <c r="F46" i="376"/>
  <c r="J58" i="376" l="1"/>
  <c r="G75" i="376" s="1"/>
  <c r="F50" i="376"/>
  <c r="K45" i="376"/>
  <c r="J62" i="376"/>
  <c r="K75" i="376" s="1"/>
  <c r="J46" i="376"/>
  <c r="K46" i="376" s="1"/>
  <c r="E46" i="376"/>
</calcChain>
</file>

<file path=xl/sharedStrings.xml><?xml version="1.0" encoding="utf-8"?>
<sst xmlns="http://schemas.openxmlformats.org/spreadsheetml/2006/main" count="603" uniqueCount="264">
  <si>
    <r>
      <t>230</t>
    </r>
    <r>
      <rPr>
        <b/>
        <sz val="9"/>
        <color indexed="12"/>
        <rFont val="Geneva"/>
        <family val="2"/>
      </rPr>
      <t>Th Age (yr BP)***</t>
    </r>
  </si>
  <si>
    <t>Sample:</t>
  </si>
  <si>
    <t>Print Date:</t>
  </si>
  <si>
    <t>User:</t>
  </si>
  <si>
    <t>Sample, spike &amp; blank info</t>
  </si>
  <si>
    <t>blanks</t>
  </si>
  <si>
    <t xml:space="preserve">exponential for SEM correction = </t>
  </si>
  <si>
    <t>frac. Th loaded =</t>
  </si>
  <si>
    <t>U measurements</t>
  </si>
  <si>
    <t>ratio</t>
  </si>
  <si>
    <t>abs err</t>
  </si>
  <si>
    <t>counting time, counts &amp; counting errors</t>
  </si>
  <si>
    <t>‰</t>
  </si>
  <si>
    <t>counting time and counts</t>
  </si>
  <si>
    <t>230/229</t>
  </si>
  <si>
    <t>232/229</t>
  </si>
  <si>
    <t>int/blk</t>
  </si>
  <si>
    <t>U calculations</t>
  </si>
  <si>
    <t>Correction for inital 230</t>
  </si>
  <si>
    <t>ppm</t>
  </si>
  <si>
    <t>ppb</t>
  </si>
  <si>
    <t>Age (Years)=</t>
  </si>
  <si>
    <t>230Th/232Th atomic =</t>
  </si>
  <si>
    <t>[230Th/238U] activity =</t>
  </si>
  <si>
    <r>
      <t xml:space="preserve">(necessary input parameters are written in </t>
    </r>
    <r>
      <rPr>
        <sz val="12"/>
        <color indexed="10"/>
        <rFont val="Times New Roman"/>
        <family val="1"/>
      </rPr>
      <t>RED</t>
    </r>
    <r>
      <rPr>
        <sz val="12"/>
        <color indexed="8"/>
        <rFont val="Times New Roman"/>
        <family val="1"/>
      </rPr>
      <t>)</t>
    </r>
  </si>
  <si>
    <r>
      <t xml:space="preserve">weight </t>
    </r>
    <r>
      <rPr>
        <sz val="12"/>
        <color indexed="8"/>
        <rFont val="Times New Roman"/>
        <family val="1"/>
      </rPr>
      <t>(grams)</t>
    </r>
  </si>
  <si>
    <r>
      <t xml:space="preserve">spike conc. </t>
    </r>
    <r>
      <rPr>
        <sz val="12"/>
        <color indexed="8"/>
        <rFont val="Times New Roman"/>
        <family val="1"/>
      </rPr>
      <t>(pmol/g)</t>
    </r>
  </si>
  <si>
    <r>
      <t>238</t>
    </r>
    <r>
      <rPr>
        <b/>
        <sz val="12"/>
        <color indexed="8"/>
        <rFont val="Times New Roman"/>
        <family val="1"/>
      </rPr>
      <t xml:space="preserve">U </t>
    </r>
    <r>
      <rPr>
        <sz val="12"/>
        <color indexed="8"/>
        <rFont val="Times New Roman"/>
        <family val="1"/>
      </rPr>
      <t>(pmol)</t>
    </r>
    <r>
      <rPr>
        <b/>
        <sz val="12"/>
        <color indexed="8"/>
        <rFont val="Times New Roman"/>
        <family val="1"/>
      </rPr>
      <t xml:space="preserve"> =</t>
    </r>
  </si>
  <si>
    <r>
      <t>232</t>
    </r>
    <r>
      <rPr>
        <b/>
        <sz val="12"/>
        <color indexed="8"/>
        <rFont val="Times New Roman"/>
        <family val="1"/>
      </rPr>
      <t xml:space="preserve">Th </t>
    </r>
    <r>
      <rPr>
        <sz val="12"/>
        <color indexed="8"/>
        <rFont val="Times New Roman"/>
        <family val="1"/>
      </rPr>
      <t>(pmol)</t>
    </r>
    <r>
      <rPr>
        <b/>
        <sz val="12"/>
        <color indexed="8"/>
        <rFont val="Times New Roman"/>
        <family val="1"/>
      </rPr>
      <t xml:space="preserve"> =</t>
    </r>
  </si>
  <si>
    <r>
      <t>230</t>
    </r>
    <r>
      <rPr>
        <b/>
        <sz val="12"/>
        <color indexed="8"/>
        <rFont val="Times New Roman"/>
        <family val="1"/>
      </rPr>
      <t xml:space="preserve">Th </t>
    </r>
    <r>
      <rPr>
        <sz val="12"/>
        <color indexed="8"/>
        <rFont val="Times New Roman"/>
        <family val="1"/>
      </rPr>
      <t>(fmol)</t>
    </r>
    <r>
      <rPr>
        <b/>
        <sz val="12"/>
        <color indexed="8"/>
        <rFont val="Times New Roman"/>
        <family val="1"/>
      </rPr>
      <t xml:space="preserve"> =</t>
    </r>
  </si>
  <si>
    <t xml:space="preserve">frac. correction for Th, ‰ per AMU = </t>
  </si>
  <si>
    <t>‰ err</t>
  </si>
  <si>
    <r>
      <t>Th</t>
    </r>
    <r>
      <rPr>
        <b/>
        <sz val="14"/>
        <color indexed="8"/>
        <rFont val="Times New Roman"/>
        <family val="1"/>
      </rPr>
      <t xml:space="preserve"> measurements</t>
    </r>
  </si>
  <si>
    <r>
      <t>darknoise</t>
    </r>
    <r>
      <rPr>
        <sz val="12"/>
        <color indexed="8"/>
        <rFont val="Times New Roman"/>
        <family val="1"/>
      </rPr>
      <t xml:space="preserve"> (cpm) </t>
    </r>
    <r>
      <rPr>
        <b/>
        <sz val="12"/>
        <color indexed="8"/>
        <rFont val="Times New Roman"/>
        <family val="1"/>
      </rPr>
      <t>=</t>
    </r>
  </si>
  <si>
    <r>
      <t>run durati</t>
    </r>
    <r>
      <rPr>
        <sz val="12"/>
        <color indexed="8"/>
        <rFont val="Times New Roman"/>
        <family val="1"/>
      </rPr>
      <t>on (minutes)</t>
    </r>
    <r>
      <rPr>
        <b/>
        <sz val="12"/>
        <color indexed="8"/>
        <rFont val="Times New Roman"/>
        <family val="1"/>
      </rPr>
      <t xml:space="preserve"> =</t>
    </r>
  </si>
  <si>
    <r>
      <t>Th</t>
    </r>
    <r>
      <rPr>
        <b/>
        <sz val="14"/>
        <color indexed="8"/>
        <rFont val="Times New Roman"/>
        <family val="1"/>
      </rPr>
      <t xml:space="preserve"> calculations</t>
    </r>
  </si>
  <si>
    <r>
      <t>U/Th</t>
    </r>
    <r>
      <rPr>
        <b/>
        <sz val="14"/>
        <color indexed="8"/>
        <rFont val="Times New Roman"/>
        <family val="1"/>
      </rPr>
      <t xml:space="preserve"> calculations</t>
    </r>
  </si>
  <si>
    <r>
      <t>232Th/238U</t>
    </r>
    <r>
      <rPr>
        <sz val="12"/>
        <color indexed="8"/>
        <rFont val="Times New Roman"/>
        <family val="1"/>
      </rPr>
      <t xml:space="preserve"> atomic</t>
    </r>
    <r>
      <rPr>
        <b/>
        <sz val="12"/>
        <color indexed="8"/>
        <rFont val="Times New Roman"/>
        <family val="1"/>
      </rPr>
      <t xml:space="preserve"> =</t>
    </r>
  </si>
  <si>
    <r>
      <t xml:space="preserve">[232Th/238U] </t>
    </r>
    <r>
      <rPr>
        <sz val="12"/>
        <color indexed="8"/>
        <rFont val="Times New Roman"/>
        <family val="1"/>
      </rPr>
      <t>activity</t>
    </r>
    <r>
      <rPr>
        <b/>
        <sz val="12"/>
        <color indexed="8"/>
        <rFont val="Times New Roman"/>
        <family val="1"/>
      </rPr>
      <t xml:space="preserve"> =</t>
    </r>
  </si>
  <si>
    <r>
      <t xml:space="preserve">230Th/238U </t>
    </r>
    <r>
      <rPr>
        <sz val="12"/>
        <color indexed="8"/>
        <rFont val="Times New Roman"/>
        <family val="1"/>
      </rPr>
      <t>atomic</t>
    </r>
    <r>
      <rPr>
        <b/>
        <sz val="12"/>
        <color indexed="8"/>
        <rFont val="Times New Roman"/>
        <family val="1"/>
      </rPr>
      <t xml:space="preserve"> =</t>
    </r>
  </si>
  <si>
    <r>
      <t xml:space="preserve">[230Th/238U] </t>
    </r>
    <r>
      <rPr>
        <sz val="12"/>
        <color indexed="8"/>
        <rFont val="Times New Roman"/>
        <family val="1"/>
      </rPr>
      <t>activity</t>
    </r>
    <r>
      <rPr>
        <b/>
        <sz val="12"/>
        <color indexed="8"/>
        <rFont val="Times New Roman"/>
        <family val="1"/>
      </rPr>
      <t xml:space="preserve"> =</t>
    </r>
  </si>
  <si>
    <r>
      <t xml:space="preserve">230Th/234U </t>
    </r>
    <r>
      <rPr>
        <sz val="12"/>
        <color indexed="8"/>
        <rFont val="Times New Roman"/>
        <family val="1"/>
      </rPr>
      <t>atomic</t>
    </r>
    <r>
      <rPr>
        <b/>
        <sz val="12"/>
        <color indexed="8"/>
        <rFont val="Times New Roman"/>
        <family val="1"/>
      </rPr>
      <t xml:space="preserve"> =</t>
    </r>
  </si>
  <si>
    <r>
      <t xml:space="preserve">[230Th/234U] </t>
    </r>
    <r>
      <rPr>
        <sz val="12"/>
        <color indexed="8"/>
        <rFont val="Times New Roman"/>
        <family val="1"/>
      </rPr>
      <t>activity</t>
    </r>
    <r>
      <rPr>
        <b/>
        <sz val="12"/>
        <color indexed="8"/>
        <rFont val="Times New Roman"/>
        <family val="1"/>
      </rPr>
      <t xml:space="preserve"> =</t>
    </r>
  </si>
  <si>
    <r>
      <t xml:space="preserve">AGE with [Th/U] </t>
    </r>
    <r>
      <rPr>
        <sz val="12"/>
        <rFont val="Times New Roman"/>
        <family val="1"/>
      </rPr>
      <t xml:space="preserve">max - </t>
    </r>
    <r>
      <rPr>
        <b/>
        <sz val="12"/>
        <rFont val="Times New Roman"/>
        <family val="1"/>
      </rPr>
      <t>AGE</t>
    </r>
    <r>
      <rPr>
        <sz val="12"/>
        <rFont val="Times New Roman"/>
        <family val="1"/>
      </rPr>
      <t xml:space="preserve"> max =</t>
    </r>
  </si>
  <si>
    <r>
      <t>l</t>
    </r>
    <r>
      <rPr>
        <b/>
        <sz val="12"/>
        <color indexed="8"/>
        <rFont val="Times New Roman"/>
        <family val="1"/>
      </rPr>
      <t>230 =</t>
    </r>
  </si>
  <si>
    <r>
      <t xml:space="preserve">AGE with [Th/U] </t>
    </r>
    <r>
      <rPr>
        <sz val="12"/>
        <rFont val="Times New Roman"/>
        <family val="1"/>
      </rPr>
      <t xml:space="preserve">min - </t>
    </r>
    <r>
      <rPr>
        <b/>
        <sz val="12"/>
        <rFont val="Times New Roman"/>
        <family val="1"/>
      </rPr>
      <t>AGE</t>
    </r>
    <r>
      <rPr>
        <sz val="12"/>
        <rFont val="Times New Roman"/>
        <family val="1"/>
      </rPr>
      <t xml:space="preserve"> min =</t>
    </r>
  </si>
  <si>
    <r>
      <t>l</t>
    </r>
    <r>
      <rPr>
        <b/>
        <sz val="12"/>
        <color indexed="8"/>
        <rFont val="Times New Roman"/>
        <family val="1"/>
      </rPr>
      <t>232 =</t>
    </r>
  </si>
  <si>
    <r>
      <t>l</t>
    </r>
    <r>
      <rPr>
        <b/>
        <sz val="12"/>
        <color indexed="8"/>
        <rFont val="Times New Roman"/>
        <family val="1"/>
      </rPr>
      <t>234 =</t>
    </r>
  </si>
  <si>
    <r>
      <t>l</t>
    </r>
    <r>
      <rPr>
        <b/>
        <sz val="12"/>
        <color indexed="8"/>
        <rFont val="Times New Roman"/>
        <family val="1"/>
      </rPr>
      <t>238 =</t>
    </r>
  </si>
  <si>
    <r>
      <t xml:space="preserve">230/232 </t>
    </r>
    <r>
      <rPr>
        <b/>
        <sz val="10"/>
        <rFont val="Times New Roman"/>
        <family val="1"/>
      </rPr>
      <t>initial</t>
    </r>
    <r>
      <rPr>
        <b/>
        <sz val="12"/>
        <rFont val="Times New Roman"/>
        <family val="1"/>
      </rPr>
      <t xml:space="preserve"> =</t>
    </r>
  </si>
  <si>
    <t>decay constants</t>
  </si>
  <si>
    <r>
      <t xml:space="preserve">230/229 </t>
    </r>
    <r>
      <rPr>
        <sz val="12"/>
        <color indexed="8"/>
        <rFont val="Times New Roman"/>
        <family val="1"/>
      </rPr>
      <t>counting error</t>
    </r>
    <r>
      <rPr>
        <b/>
        <sz val="12"/>
        <color indexed="8"/>
        <rFont val="Times New Roman"/>
        <family val="1"/>
      </rPr>
      <t xml:space="preserve"> =</t>
    </r>
  </si>
  <si>
    <r>
      <t>(spike corr)</t>
    </r>
    <r>
      <rPr>
        <b/>
        <sz val="12"/>
        <color indexed="8"/>
        <rFont val="Times New Roman"/>
        <family val="1"/>
      </rPr>
      <t xml:space="preserve"> 230/229 =</t>
    </r>
  </si>
  <si>
    <r>
      <t xml:space="preserve"> Iterative age &amp; age error calculations  </t>
    </r>
    <r>
      <rPr>
        <sz val="12"/>
        <color indexed="8"/>
        <rFont val="Times New Roman"/>
        <family val="1"/>
      </rPr>
      <t xml:space="preserve">(uses GOALSEEK macro string from hidden sheet; </t>
    </r>
    <r>
      <rPr>
        <sz val="12"/>
        <color indexed="12"/>
        <rFont val="Times New Roman"/>
        <family val="1"/>
      </rPr>
      <t>BLUE #'s</t>
    </r>
    <r>
      <rPr>
        <sz val="12"/>
        <color indexed="8"/>
        <rFont val="Times New Roman"/>
        <family val="1"/>
      </rPr>
      <t xml:space="preserve"> should ~</t>
    </r>
    <r>
      <rPr>
        <sz val="12"/>
        <color indexed="12"/>
        <rFont val="Times New Roman"/>
        <family val="1"/>
      </rPr>
      <t xml:space="preserve"> 0</t>
    </r>
    <r>
      <rPr>
        <sz val="12"/>
        <color indexed="8"/>
        <rFont val="Times New Roman"/>
        <family val="1"/>
      </rPr>
      <t>)</t>
    </r>
  </si>
  <si>
    <r>
      <t>(ab sens corr)</t>
    </r>
    <r>
      <rPr>
        <b/>
        <sz val="12"/>
        <color indexed="8"/>
        <rFont val="Times New Roman"/>
        <family val="1"/>
      </rPr>
      <t xml:space="preserve"> 230/229 =</t>
    </r>
  </si>
  <si>
    <r>
      <t>(darknoise corr)</t>
    </r>
    <r>
      <rPr>
        <b/>
        <sz val="12"/>
        <color indexed="8"/>
        <rFont val="Times New Roman"/>
        <family val="1"/>
      </rPr>
      <t xml:space="preserve"> 230/229 =</t>
    </r>
  </si>
  <si>
    <r>
      <t>(chem blank corr)</t>
    </r>
    <r>
      <rPr>
        <b/>
        <sz val="12"/>
        <color indexed="8"/>
        <rFont val="Times New Roman"/>
        <family val="1"/>
      </rPr>
      <t xml:space="preserve"> 230/229 =</t>
    </r>
  </si>
  <si>
    <r>
      <t xml:space="preserve">230 </t>
    </r>
    <r>
      <rPr>
        <sz val="12"/>
        <color indexed="8"/>
        <rFont val="Times New Roman"/>
        <family val="1"/>
      </rPr>
      <t>(pmol/g)</t>
    </r>
    <r>
      <rPr>
        <b/>
        <sz val="12"/>
        <color indexed="8"/>
        <rFont val="Times New Roman"/>
        <family val="1"/>
      </rPr>
      <t xml:space="preserve"> =</t>
    </r>
  </si>
  <si>
    <r>
      <t xml:space="preserve">230 </t>
    </r>
    <r>
      <rPr>
        <sz val="12"/>
        <color indexed="8"/>
        <rFont val="Times New Roman"/>
        <family val="1"/>
      </rPr>
      <t>(pg/g)</t>
    </r>
    <r>
      <rPr>
        <b/>
        <sz val="12"/>
        <color indexed="8"/>
        <rFont val="Times New Roman"/>
        <family val="1"/>
      </rPr>
      <t xml:space="preserve"> =</t>
    </r>
  </si>
  <si>
    <r>
      <t xml:space="preserve">232/229 </t>
    </r>
    <r>
      <rPr>
        <sz val="12"/>
        <color indexed="8"/>
        <rFont val="Times New Roman"/>
        <family val="1"/>
      </rPr>
      <t>(frac corr, max err)</t>
    </r>
    <r>
      <rPr>
        <b/>
        <sz val="12"/>
        <color indexed="8"/>
        <rFont val="Times New Roman"/>
        <family val="1"/>
      </rPr>
      <t xml:space="preserve"> =</t>
    </r>
  </si>
  <si>
    <r>
      <t>(chem blank corr)</t>
    </r>
    <r>
      <rPr>
        <b/>
        <sz val="12"/>
        <color indexed="8"/>
        <rFont val="Times New Roman"/>
        <family val="1"/>
      </rPr>
      <t xml:space="preserve"> 232/229 =</t>
    </r>
  </si>
  <si>
    <r>
      <t xml:space="preserve">232 </t>
    </r>
    <r>
      <rPr>
        <sz val="12"/>
        <color indexed="8"/>
        <rFont val="Times New Roman"/>
        <family val="1"/>
      </rPr>
      <t>(pmol/g)</t>
    </r>
    <r>
      <rPr>
        <b/>
        <sz val="12"/>
        <color indexed="8"/>
        <rFont val="Times New Roman"/>
        <family val="1"/>
      </rPr>
      <t xml:space="preserve"> =</t>
    </r>
  </si>
  <si>
    <r>
      <t xml:space="preserve">232 </t>
    </r>
    <r>
      <rPr>
        <sz val="12"/>
        <color indexed="8"/>
        <rFont val="Times New Roman"/>
        <family val="1"/>
      </rPr>
      <t>(pg/g)</t>
    </r>
    <r>
      <rPr>
        <b/>
        <sz val="12"/>
        <color indexed="8"/>
        <rFont val="Times New Roman"/>
        <family val="1"/>
      </rPr>
      <t xml:space="preserve"> =</t>
    </r>
  </si>
  <si>
    <r>
      <t xml:space="preserve">230/232 </t>
    </r>
    <r>
      <rPr>
        <sz val="12"/>
        <color indexed="8"/>
        <rFont val="Times New Roman"/>
        <family val="1"/>
      </rPr>
      <t>(atomic)</t>
    </r>
    <r>
      <rPr>
        <b/>
        <sz val="12"/>
        <color indexed="8"/>
        <rFont val="Times New Roman"/>
        <family val="1"/>
      </rPr>
      <t xml:space="preserve"> =</t>
    </r>
  </si>
  <si>
    <r>
      <t xml:space="preserve">230/232 </t>
    </r>
    <r>
      <rPr>
        <sz val="12"/>
        <color indexed="8"/>
        <rFont val="Times New Roman"/>
        <family val="1"/>
      </rPr>
      <t>(activity)</t>
    </r>
    <r>
      <rPr>
        <b/>
        <sz val="12"/>
        <color indexed="8"/>
        <rFont val="Times New Roman"/>
        <family val="1"/>
      </rPr>
      <t xml:space="preserve"> =</t>
    </r>
  </si>
  <si>
    <r>
      <t xml:space="preserve">Thorium </t>
    </r>
    <r>
      <rPr>
        <sz val="12"/>
        <color indexed="8"/>
        <rFont val="Times New Roman"/>
        <family val="1"/>
      </rPr>
      <t>ionization efficiency</t>
    </r>
    <r>
      <rPr>
        <b/>
        <sz val="12"/>
        <color indexed="8"/>
        <rFont val="Times New Roman"/>
        <family val="1"/>
      </rPr>
      <t xml:space="preserve"> =</t>
    </r>
  </si>
  <si>
    <r>
      <t xml:space="preserve">234/233 </t>
    </r>
    <r>
      <rPr>
        <sz val="12"/>
        <color indexed="8"/>
        <rFont val="Times New Roman"/>
        <family val="1"/>
      </rPr>
      <t>(max err)</t>
    </r>
    <r>
      <rPr>
        <b/>
        <sz val="12"/>
        <color indexed="8"/>
        <rFont val="Times New Roman"/>
        <family val="1"/>
      </rPr>
      <t xml:space="preserve"> =</t>
    </r>
  </si>
  <si>
    <r>
      <t xml:space="preserve">wt avg 234/235 </t>
    </r>
    <r>
      <rPr>
        <sz val="12"/>
        <color indexed="8"/>
        <rFont val="Times New Roman"/>
        <family val="1"/>
      </rPr>
      <t>(max err)</t>
    </r>
    <r>
      <rPr>
        <b/>
        <sz val="12"/>
        <color indexed="8"/>
        <rFont val="Times New Roman"/>
        <family val="1"/>
      </rPr>
      <t xml:space="preserve"> =</t>
    </r>
  </si>
  <si>
    <r>
      <t>(tail correction)</t>
    </r>
    <r>
      <rPr>
        <b/>
        <sz val="12"/>
        <color indexed="8"/>
        <rFont val="Times New Roman"/>
        <family val="1"/>
      </rPr>
      <t xml:space="preserve"> 234/235 =</t>
    </r>
  </si>
  <si>
    <r>
      <t>(spike corr on 234)</t>
    </r>
    <r>
      <rPr>
        <b/>
        <sz val="12"/>
        <color indexed="8"/>
        <rFont val="Times New Roman"/>
        <family val="1"/>
      </rPr>
      <t xml:space="preserve"> 234/235 =</t>
    </r>
  </si>
  <si>
    <r>
      <t>(spike corr on 235)</t>
    </r>
    <r>
      <rPr>
        <b/>
        <sz val="12"/>
        <color indexed="8"/>
        <rFont val="Times New Roman"/>
        <family val="1"/>
      </rPr>
      <t xml:space="preserve"> 234/235 =</t>
    </r>
  </si>
  <si>
    <r>
      <t xml:space="preserve">234/238 </t>
    </r>
    <r>
      <rPr>
        <sz val="12"/>
        <color indexed="8"/>
        <rFont val="Times New Roman"/>
        <family val="1"/>
      </rPr>
      <t>(p</t>
    </r>
    <r>
      <rPr>
        <b/>
        <sz val="12"/>
        <color indexed="8"/>
        <rFont val="Times New Roman"/>
        <family val="1"/>
      </rPr>
      <t>pm) =</t>
    </r>
  </si>
  <si>
    <r>
      <t xml:space="preserve">235/233 </t>
    </r>
    <r>
      <rPr>
        <sz val="12"/>
        <color indexed="8"/>
        <rFont val="Times New Roman"/>
        <family val="1"/>
      </rPr>
      <t xml:space="preserve">(max err) </t>
    </r>
    <r>
      <rPr>
        <b/>
        <sz val="12"/>
        <color indexed="8"/>
        <rFont val="Times New Roman"/>
        <family val="1"/>
      </rPr>
      <t>=</t>
    </r>
  </si>
  <si>
    <r>
      <t xml:space="preserve">238 </t>
    </r>
    <r>
      <rPr>
        <sz val="12"/>
        <color indexed="8"/>
        <rFont val="Times New Roman"/>
        <family val="1"/>
      </rPr>
      <t>(nmol/g)</t>
    </r>
    <r>
      <rPr>
        <b/>
        <sz val="12"/>
        <color indexed="8"/>
        <rFont val="Times New Roman"/>
        <family val="1"/>
      </rPr>
      <t xml:space="preserve"> =</t>
    </r>
  </si>
  <si>
    <r>
      <t>(filament blank corr)</t>
    </r>
    <r>
      <rPr>
        <b/>
        <sz val="12"/>
        <color indexed="8"/>
        <rFont val="Times New Roman"/>
        <family val="1"/>
      </rPr>
      <t xml:space="preserve"> 238 =</t>
    </r>
  </si>
  <si>
    <r>
      <t xml:space="preserve">238 </t>
    </r>
    <r>
      <rPr>
        <sz val="12"/>
        <color indexed="8"/>
        <rFont val="Times New Roman"/>
        <family val="1"/>
      </rPr>
      <t>(ppb)</t>
    </r>
    <r>
      <rPr>
        <b/>
        <sz val="12"/>
        <color indexed="8"/>
        <rFont val="Times New Roman"/>
        <family val="1"/>
      </rPr>
      <t xml:space="preserve"> =</t>
    </r>
  </si>
  <si>
    <r>
      <t>(chem blank corr)</t>
    </r>
    <r>
      <rPr>
        <b/>
        <sz val="12"/>
        <color indexed="8"/>
        <rFont val="Times New Roman"/>
        <family val="1"/>
      </rPr>
      <t xml:space="preserve"> 238 =</t>
    </r>
  </si>
  <si>
    <r>
      <t xml:space="preserve">avg 230/229 </t>
    </r>
    <r>
      <rPr>
        <sz val="12"/>
        <color indexed="8"/>
        <rFont val="Times New Roman"/>
        <family val="1"/>
      </rPr>
      <t>(frac cor, max er)</t>
    </r>
    <r>
      <rPr>
        <b/>
        <sz val="12"/>
        <color indexed="8"/>
        <rFont val="Times New Roman"/>
        <family val="1"/>
      </rPr>
      <t xml:space="preserve"> =</t>
    </r>
  </si>
  <si>
    <r>
      <t>d</t>
    </r>
    <r>
      <rPr>
        <b/>
        <sz val="12"/>
        <color indexed="8"/>
        <rFont val="Times New Roman"/>
        <family val="1"/>
      </rPr>
      <t xml:space="preserve"> </t>
    </r>
    <r>
      <rPr>
        <b/>
        <sz val="10"/>
        <color indexed="8"/>
        <rFont val="Times New Roman"/>
        <family val="1"/>
      </rPr>
      <t>234</t>
    </r>
    <r>
      <rPr>
        <b/>
        <sz val="12"/>
        <color indexed="8"/>
        <rFont val="Times New Roman"/>
        <family val="1"/>
      </rPr>
      <t>U =</t>
    </r>
  </si>
  <si>
    <r>
      <t xml:space="preserve">235/233 </t>
    </r>
    <r>
      <rPr>
        <sz val="12"/>
        <color indexed="8"/>
        <rFont val="Times New Roman"/>
        <family val="1"/>
      </rPr>
      <t>me</t>
    </r>
    <r>
      <rPr>
        <b/>
        <sz val="12"/>
        <color indexed="8"/>
        <rFont val="Times New Roman"/>
        <family val="1"/>
      </rPr>
      <t>as =</t>
    </r>
  </si>
  <si>
    <r>
      <t xml:space="preserve">234/235 </t>
    </r>
    <r>
      <rPr>
        <sz val="12"/>
        <color indexed="8"/>
        <rFont val="Times New Roman"/>
        <family val="1"/>
      </rPr>
      <t xml:space="preserve">meas (1) </t>
    </r>
    <r>
      <rPr>
        <b/>
        <sz val="12"/>
        <color indexed="8"/>
        <rFont val="Times New Roman"/>
        <family val="1"/>
      </rPr>
      <t>=</t>
    </r>
  </si>
  <si>
    <r>
      <t xml:space="preserve">wt ave 234/235 </t>
    </r>
    <r>
      <rPr>
        <sz val="12"/>
        <color indexed="8"/>
        <rFont val="Times New Roman"/>
        <family val="1"/>
      </rPr>
      <t>meas</t>
    </r>
    <r>
      <rPr>
        <b/>
        <sz val="12"/>
        <color indexed="8"/>
        <rFont val="Times New Roman"/>
        <family val="1"/>
      </rPr>
      <t xml:space="preserve"> =</t>
    </r>
  </si>
  <si>
    <r>
      <t xml:space="preserve">233.5/234 </t>
    </r>
    <r>
      <rPr>
        <sz val="12"/>
        <color indexed="8"/>
        <rFont val="Times New Roman"/>
        <family val="1"/>
      </rPr>
      <t xml:space="preserve">meas </t>
    </r>
    <r>
      <rPr>
        <b/>
        <sz val="12"/>
        <color indexed="8"/>
        <rFont val="Times New Roman"/>
        <family val="1"/>
      </rPr>
      <t>=</t>
    </r>
  </si>
  <si>
    <r>
      <t xml:space="preserve">234.4/234 </t>
    </r>
    <r>
      <rPr>
        <sz val="12"/>
        <color indexed="8"/>
        <rFont val="Times New Roman"/>
        <family val="1"/>
      </rPr>
      <t xml:space="preserve">meas </t>
    </r>
    <r>
      <rPr>
        <b/>
        <sz val="12"/>
        <color indexed="8"/>
        <rFont val="Times New Roman"/>
        <family val="1"/>
      </rPr>
      <t>=</t>
    </r>
  </si>
  <si>
    <r>
      <t xml:space="preserve">238 </t>
    </r>
    <r>
      <rPr>
        <sz val="12"/>
        <color indexed="8"/>
        <rFont val="Times New Roman"/>
        <family val="1"/>
      </rPr>
      <t>filament blank</t>
    </r>
    <r>
      <rPr>
        <b/>
        <sz val="12"/>
        <color indexed="8"/>
        <rFont val="Times New Roman"/>
        <family val="1"/>
      </rPr>
      <t xml:space="preserve"> =</t>
    </r>
  </si>
  <si>
    <r>
      <t>counting error</t>
    </r>
    <r>
      <rPr>
        <b/>
        <sz val="12"/>
        <color indexed="8"/>
        <rFont val="Times New Roman"/>
        <family val="1"/>
      </rPr>
      <t xml:space="preserve"> 233 =</t>
    </r>
  </si>
  <si>
    <r>
      <t xml:space="preserve">counting error </t>
    </r>
    <r>
      <rPr>
        <b/>
        <sz val="12"/>
        <color indexed="8"/>
        <rFont val="Times New Roman"/>
        <family val="1"/>
      </rPr>
      <t>234 =</t>
    </r>
  </si>
  <si>
    <r>
      <t>counting error</t>
    </r>
    <r>
      <rPr>
        <b/>
        <sz val="12"/>
        <color indexed="8"/>
        <rFont val="Times New Roman"/>
        <family val="1"/>
      </rPr>
      <t xml:space="preserve"> 235 =</t>
    </r>
  </si>
  <si>
    <r>
      <t xml:space="preserve">232/229 </t>
    </r>
    <r>
      <rPr>
        <sz val="12"/>
        <color indexed="8"/>
        <rFont val="Times New Roman"/>
        <family val="1"/>
      </rPr>
      <t>me</t>
    </r>
    <r>
      <rPr>
        <b/>
        <sz val="12"/>
        <color indexed="8"/>
        <rFont val="Times New Roman"/>
        <family val="1"/>
      </rPr>
      <t>as =</t>
    </r>
  </si>
  <si>
    <r>
      <t xml:space="preserve">230 </t>
    </r>
    <r>
      <rPr>
        <sz val="12"/>
        <color indexed="8"/>
        <rFont val="Times New Roman"/>
        <family val="1"/>
      </rPr>
      <t>count rate (cps)</t>
    </r>
    <r>
      <rPr>
        <b/>
        <sz val="12"/>
        <color indexed="8"/>
        <rFont val="Times New Roman"/>
        <family val="1"/>
      </rPr>
      <t xml:space="preserve"> =</t>
    </r>
  </si>
  <si>
    <r>
      <t xml:space="preserve"> abundance sens </t>
    </r>
    <r>
      <rPr>
        <sz val="12"/>
        <color indexed="8"/>
        <rFont val="Times New Roman"/>
        <family val="1"/>
      </rPr>
      <t>@1 amu</t>
    </r>
    <r>
      <rPr>
        <b/>
        <sz val="12"/>
        <color indexed="8"/>
        <rFont val="Times New Roman"/>
        <family val="1"/>
      </rPr>
      <t>=</t>
    </r>
  </si>
  <si>
    <r>
      <t xml:space="preserve">abundance sens </t>
    </r>
    <r>
      <rPr>
        <sz val="12"/>
        <color indexed="8"/>
        <rFont val="Times New Roman"/>
        <family val="1"/>
      </rPr>
      <t>@2 amu</t>
    </r>
    <r>
      <rPr>
        <b/>
        <sz val="12"/>
        <color indexed="8"/>
        <rFont val="Times New Roman"/>
        <family val="1"/>
      </rPr>
      <t>=</t>
    </r>
  </si>
  <si>
    <r>
      <t xml:space="preserve">AGE with </t>
    </r>
    <r>
      <rPr>
        <b/>
        <sz val="12"/>
        <rFont val="Symbol"/>
        <family val="1"/>
        <charset val="2"/>
      </rPr>
      <t>d</t>
    </r>
    <r>
      <rPr>
        <b/>
        <sz val="10"/>
        <rFont val="Times New Roman"/>
        <family val="1"/>
      </rPr>
      <t>234</t>
    </r>
    <r>
      <rPr>
        <b/>
        <sz val="12"/>
        <rFont val="Times New Roman"/>
        <family val="1"/>
      </rPr>
      <t xml:space="preserve">U </t>
    </r>
    <r>
      <rPr>
        <sz val="12"/>
        <rFont val="Times New Roman"/>
        <family val="1"/>
      </rPr>
      <t xml:space="preserve">max - </t>
    </r>
    <r>
      <rPr>
        <b/>
        <sz val="12"/>
        <rFont val="Times New Roman"/>
        <family val="1"/>
      </rPr>
      <t>AGE</t>
    </r>
    <r>
      <rPr>
        <sz val="12"/>
        <rFont val="Times New Roman"/>
        <family val="1"/>
      </rPr>
      <t xml:space="preserve"> min = </t>
    </r>
  </si>
  <si>
    <r>
      <t xml:space="preserve">AGE with </t>
    </r>
    <r>
      <rPr>
        <b/>
        <sz val="12"/>
        <rFont val="Symbol"/>
        <family val="1"/>
        <charset val="2"/>
      </rPr>
      <t>d</t>
    </r>
    <r>
      <rPr>
        <b/>
        <sz val="10"/>
        <rFont val="Times New Roman"/>
        <family val="1"/>
      </rPr>
      <t>234</t>
    </r>
    <r>
      <rPr>
        <b/>
        <sz val="12"/>
        <rFont val="Times New Roman"/>
        <family val="1"/>
      </rPr>
      <t xml:space="preserve">U </t>
    </r>
    <r>
      <rPr>
        <sz val="12"/>
        <rFont val="Times New Roman"/>
        <family val="1"/>
      </rPr>
      <t xml:space="preserve">min - </t>
    </r>
    <r>
      <rPr>
        <b/>
        <sz val="12"/>
        <rFont val="Times New Roman"/>
        <family val="1"/>
      </rPr>
      <t>AGE</t>
    </r>
    <r>
      <rPr>
        <sz val="12"/>
        <rFont val="Times New Roman"/>
        <family val="1"/>
      </rPr>
      <t xml:space="preserve"> max = </t>
    </r>
  </si>
  <si>
    <t>Uncorrected age (Years) =</t>
  </si>
  <si>
    <t>Th meas date:</t>
  </si>
  <si>
    <t>U meas date:</t>
  </si>
  <si>
    <r>
      <t xml:space="preserve">230/232 </t>
    </r>
    <r>
      <rPr>
        <b/>
        <sz val="10"/>
        <rFont val="Tms Rmn"/>
      </rPr>
      <t>i, now</t>
    </r>
    <r>
      <rPr>
        <b/>
        <sz val="12"/>
        <rFont val="Tms Rmn"/>
      </rPr>
      <t xml:space="preserve"> =</t>
    </r>
  </si>
  <si>
    <t>UNCORRECTED  DATA</t>
  </si>
  <si>
    <t>corrected [230Th/238U]act=</t>
  </si>
  <si>
    <r>
      <t>230</t>
    </r>
    <r>
      <rPr>
        <b/>
        <sz val="12"/>
        <color indexed="8"/>
        <rFont val="Tms Rmn"/>
      </rPr>
      <t>Th =</t>
    </r>
  </si>
  <si>
    <t>pg/g</t>
  </si>
  <si>
    <t>Corrected age(Years) =</t>
  </si>
  <si>
    <r>
      <t>232</t>
    </r>
    <r>
      <rPr>
        <b/>
        <sz val="12"/>
        <color indexed="8"/>
        <rFont val="Tms Rmn"/>
      </rPr>
      <t>Th =</t>
    </r>
  </si>
  <si>
    <r>
      <t xml:space="preserve">AGE with [Th/U] </t>
    </r>
    <r>
      <rPr>
        <sz val="12"/>
        <rFont val="Tms Rmn"/>
      </rPr>
      <t xml:space="preserve">max - </t>
    </r>
    <r>
      <rPr>
        <b/>
        <sz val="12"/>
        <rFont val="Tms Rmn"/>
      </rPr>
      <t>AGE</t>
    </r>
    <r>
      <rPr>
        <sz val="12"/>
        <rFont val="Tms Rmn"/>
      </rPr>
      <t xml:space="preserve"> max =</t>
    </r>
  </si>
  <si>
    <r>
      <t xml:space="preserve">AGE with [Th/U] </t>
    </r>
    <r>
      <rPr>
        <sz val="12"/>
        <rFont val="Tms Rmn"/>
      </rPr>
      <t xml:space="preserve">min - </t>
    </r>
    <r>
      <rPr>
        <b/>
        <sz val="12"/>
        <rFont val="Tms Rmn"/>
      </rPr>
      <t>AGE</t>
    </r>
    <r>
      <rPr>
        <sz val="12"/>
        <rFont val="Tms Rmn"/>
      </rPr>
      <t xml:space="preserve"> min =</t>
    </r>
  </si>
  <si>
    <r>
      <t>238</t>
    </r>
    <r>
      <rPr>
        <b/>
        <sz val="12"/>
        <color indexed="8"/>
        <rFont val="Tms Rmn"/>
      </rPr>
      <t>U =</t>
    </r>
  </si>
  <si>
    <r>
      <t xml:space="preserve">AGE with d </t>
    </r>
    <r>
      <rPr>
        <b/>
        <sz val="10"/>
        <rFont val="Tms Rmn"/>
      </rPr>
      <t>234</t>
    </r>
    <r>
      <rPr>
        <b/>
        <sz val="12"/>
        <rFont val="Tms Rmn"/>
      </rPr>
      <t xml:space="preserve">U </t>
    </r>
    <r>
      <rPr>
        <sz val="12"/>
        <rFont val="Tms Rmn"/>
      </rPr>
      <t xml:space="preserve">max - </t>
    </r>
    <r>
      <rPr>
        <b/>
        <sz val="12"/>
        <rFont val="Tms Rmn"/>
      </rPr>
      <t>AGE</t>
    </r>
    <r>
      <rPr>
        <sz val="12"/>
        <rFont val="Tms Rmn"/>
      </rPr>
      <t xml:space="preserve"> min = </t>
    </r>
  </si>
  <si>
    <r>
      <t>d</t>
    </r>
    <r>
      <rPr>
        <sz val="12"/>
        <rFont val="Tms Rmn"/>
      </rPr>
      <t xml:space="preserve"> </t>
    </r>
    <r>
      <rPr>
        <b/>
        <sz val="12"/>
        <color indexed="8"/>
        <rFont val="Tms Rmn"/>
      </rPr>
      <t>234</t>
    </r>
    <r>
      <rPr>
        <sz val="12"/>
        <rFont val="Tms Rmn"/>
      </rPr>
      <t>U</t>
    </r>
    <r>
      <rPr>
        <b/>
        <sz val="12"/>
        <color indexed="8"/>
        <rFont val="Tms Rmn"/>
      </rPr>
      <t xml:space="preserve"> initial</t>
    </r>
    <r>
      <rPr>
        <sz val="12"/>
        <rFont val="Tms Rmn"/>
      </rPr>
      <t xml:space="preserve"> =</t>
    </r>
  </si>
  <si>
    <r>
      <t xml:space="preserve">AGE with d </t>
    </r>
    <r>
      <rPr>
        <b/>
        <sz val="10"/>
        <rFont val="Tms Rmn"/>
      </rPr>
      <t>234</t>
    </r>
    <r>
      <rPr>
        <b/>
        <sz val="12"/>
        <rFont val="Tms Rmn"/>
      </rPr>
      <t xml:space="preserve">U </t>
    </r>
    <r>
      <rPr>
        <sz val="12"/>
        <rFont val="Tms Rmn"/>
      </rPr>
      <t xml:space="preserve">min - </t>
    </r>
    <r>
      <rPr>
        <b/>
        <sz val="12"/>
        <rFont val="Tms Rmn"/>
      </rPr>
      <t>AGE</t>
    </r>
    <r>
      <rPr>
        <sz val="12"/>
        <rFont val="Tms Rmn"/>
      </rPr>
      <t xml:space="preserve"> max = </t>
    </r>
  </si>
  <si>
    <r>
      <t>d</t>
    </r>
    <r>
      <rPr>
        <sz val="12"/>
        <rFont val="Tms Rmn"/>
      </rPr>
      <t xml:space="preserve"> </t>
    </r>
    <r>
      <rPr>
        <b/>
        <sz val="12"/>
        <color indexed="8"/>
        <rFont val="Tms Rmn"/>
      </rPr>
      <t>234</t>
    </r>
    <r>
      <rPr>
        <sz val="12"/>
        <rFont val="Tms Rmn"/>
      </rPr>
      <t xml:space="preserve">U </t>
    </r>
    <r>
      <rPr>
        <b/>
        <sz val="12"/>
        <color indexed="8"/>
        <rFont val="Tms Rmn"/>
      </rPr>
      <t>present</t>
    </r>
    <r>
      <rPr>
        <sz val="12"/>
        <rFont val="Tms Rmn"/>
      </rPr>
      <t xml:space="preserve"> =</t>
    </r>
  </si>
  <si>
    <r>
      <t xml:space="preserve">230/232 </t>
    </r>
    <r>
      <rPr>
        <b/>
        <sz val="10"/>
        <rFont val="Tms Rmn"/>
      </rPr>
      <t>i, now+</t>
    </r>
    <r>
      <rPr>
        <b/>
        <sz val="12"/>
        <rFont val="Tms Rmn"/>
      </rPr>
      <t xml:space="preserve"> =</t>
    </r>
  </si>
  <si>
    <t>Age=</t>
  </si>
  <si>
    <t>age(years) =</t>
  </si>
  <si>
    <r>
      <t xml:space="preserve">230/232 </t>
    </r>
    <r>
      <rPr>
        <b/>
        <sz val="10"/>
        <rFont val="Tms Rmn"/>
      </rPr>
      <t xml:space="preserve">i, now- </t>
    </r>
    <r>
      <rPr>
        <b/>
        <sz val="12"/>
        <rFont val="Tms Rmn"/>
      </rPr>
      <t>=</t>
    </r>
  </si>
  <si>
    <t>Corrected Data:</t>
  </si>
  <si>
    <t>d234Ui =</t>
  </si>
  <si>
    <r>
      <t xml:space="preserve">230/229 </t>
    </r>
    <r>
      <rPr>
        <sz val="12"/>
        <color indexed="8"/>
        <rFont val="Times New Roman"/>
        <family val="1"/>
      </rPr>
      <t>meas</t>
    </r>
    <r>
      <rPr>
        <b/>
        <sz val="12"/>
        <color indexed="8"/>
        <rFont val="Times New Roman"/>
        <family val="1"/>
      </rPr>
      <t xml:space="preserve"> =</t>
    </r>
  </si>
  <si>
    <t>Hai</t>
  </si>
  <si>
    <t>Number</t>
  </si>
  <si>
    <t>(ppb)</t>
  </si>
  <si>
    <t>(ppt)</t>
  </si>
  <si>
    <t>(uncorrected)</t>
  </si>
  <si>
    <t xml:space="preserve">Sample </t>
  </si>
  <si>
    <r>
      <t>238</t>
    </r>
    <r>
      <rPr>
        <b/>
        <sz val="9"/>
        <rFont val="Geneva"/>
        <family val="2"/>
      </rPr>
      <t xml:space="preserve">U </t>
    </r>
  </si>
  <si>
    <r>
      <t>232</t>
    </r>
    <r>
      <rPr>
        <b/>
        <sz val="9"/>
        <rFont val="Geneva"/>
        <family val="2"/>
      </rPr>
      <t>Th</t>
    </r>
  </si>
  <si>
    <r>
      <t>230</t>
    </r>
    <r>
      <rPr>
        <b/>
        <sz val="9"/>
        <rFont val="Geneva"/>
        <family val="2"/>
      </rPr>
      <t>Th Age (yr)</t>
    </r>
  </si>
  <si>
    <t>(measured)</t>
  </si>
  <si>
    <t>(activity)</t>
  </si>
  <si>
    <t>(corrected)</t>
  </si>
  <si>
    <r>
      <t>230</t>
    </r>
    <r>
      <rPr>
        <sz val="12"/>
        <rFont val="Times"/>
        <family val="1"/>
      </rPr>
      <t>Th dating results.  The error is 2</t>
    </r>
    <r>
      <rPr>
        <sz val="12"/>
        <rFont val="Symbol"/>
        <family val="1"/>
        <charset val="2"/>
      </rPr>
      <t>s</t>
    </r>
    <r>
      <rPr>
        <sz val="12"/>
        <rFont val="Times"/>
        <family val="1"/>
      </rPr>
      <t xml:space="preserve"> error.</t>
    </r>
  </si>
  <si>
    <r>
      <t>d</t>
    </r>
    <r>
      <rPr>
        <b/>
        <vertAlign val="superscript"/>
        <sz val="10"/>
        <rFont val="Geneva"/>
        <family val="2"/>
      </rPr>
      <t>234</t>
    </r>
    <r>
      <rPr>
        <b/>
        <sz val="9"/>
        <rFont val="Geneva"/>
        <family val="2"/>
      </rPr>
      <t>U*</t>
    </r>
  </si>
  <si>
    <r>
      <t>230</t>
    </r>
    <r>
      <rPr>
        <b/>
        <sz val="9"/>
        <rFont val="Geneva"/>
        <family val="2"/>
      </rPr>
      <t>Th</t>
    </r>
    <r>
      <rPr>
        <b/>
        <sz val="8"/>
        <rFont val="Geneva"/>
        <family val="2"/>
      </rPr>
      <t xml:space="preserve"> </t>
    </r>
    <r>
      <rPr>
        <b/>
        <sz val="9"/>
        <rFont val="Geneva"/>
        <family val="2"/>
      </rPr>
      <t>/</t>
    </r>
    <r>
      <rPr>
        <b/>
        <sz val="8"/>
        <rFont val="Geneva"/>
        <family val="2"/>
      </rPr>
      <t xml:space="preserve"> </t>
    </r>
    <r>
      <rPr>
        <b/>
        <vertAlign val="superscript"/>
        <sz val="10"/>
        <rFont val="Geneva"/>
        <family val="2"/>
      </rPr>
      <t>238</t>
    </r>
    <r>
      <rPr>
        <b/>
        <sz val="9"/>
        <rFont val="Geneva"/>
        <family val="2"/>
      </rPr>
      <t>U</t>
    </r>
  </si>
  <si>
    <r>
      <t>d</t>
    </r>
    <r>
      <rPr>
        <b/>
        <vertAlign val="superscript"/>
        <sz val="10"/>
        <rFont val="Geneva"/>
        <family val="2"/>
      </rPr>
      <t>234</t>
    </r>
    <r>
      <rPr>
        <b/>
        <sz val="9"/>
        <rFont val="Geneva"/>
        <family val="2"/>
      </rPr>
      <t>U</t>
    </r>
    <r>
      <rPr>
        <b/>
        <vertAlign val="subscript"/>
        <sz val="9"/>
        <rFont val="Geneva"/>
        <family val="2"/>
      </rPr>
      <t>Initial</t>
    </r>
    <r>
      <rPr>
        <b/>
        <sz val="9"/>
        <rFont val="Geneva"/>
        <family val="2"/>
      </rPr>
      <t>**</t>
    </r>
  </si>
  <si>
    <r>
      <t>(atomic x10</t>
    </r>
    <r>
      <rPr>
        <b/>
        <vertAlign val="superscript"/>
        <sz val="10"/>
        <rFont val="Geneva"/>
        <family val="2"/>
      </rPr>
      <t>-6</t>
    </r>
    <r>
      <rPr>
        <b/>
        <sz val="9"/>
        <rFont val="Geneva"/>
        <family val="2"/>
      </rPr>
      <t>)</t>
    </r>
  </si>
  <si>
    <r>
      <t>230</t>
    </r>
    <r>
      <rPr>
        <b/>
        <sz val="9"/>
        <rFont val="Geneva"/>
        <family val="2"/>
      </rPr>
      <t>Th</t>
    </r>
    <r>
      <rPr>
        <b/>
        <sz val="8"/>
        <rFont val="Geneva"/>
        <family val="2"/>
      </rPr>
      <t xml:space="preserve"> </t>
    </r>
    <r>
      <rPr>
        <b/>
        <sz val="9"/>
        <rFont val="Geneva"/>
        <family val="2"/>
      </rPr>
      <t>/</t>
    </r>
    <r>
      <rPr>
        <b/>
        <sz val="8"/>
        <rFont val="Geneva"/>
        <family val="2"/>
      </rPr>
      <t xml:space="preserve"> </t>
    </r>
    <r>
      <rPr>
        <b/>
        <vertAlign val="superscript"/>
        <sz val="10"/>
        <rFont val="Geneva"/>
        <family val="2"/>
      </rPr>
      <t>232</t>
    </r>
    <r>
      <rPr>
        <b/>
        <sz val="9"/>
        <rFont val="Geneva"/>
        <family val="2"/>
      </rPr>
      <t>Th</t>
    </r>
  </si>
  <si>
    <r>
      <t>*</t>
    </r>
    <r>
      <rPr>
        <sz val="10"/>
        <rFont val="Symbol"/>
        <family val="1"/>
        <charset val="2"/>
      </rPr>
      <t>d</t>
    </r>
    <r>
      <rPr>
        <vertAlign val="superscript"/>
        <sz val="10"/>
        <rFont val="Times"/>
        <family val="1"/>
      </rPr>
      <t>234</t>
    </r>
    <r>
      <rPr>
        <sz val="10"/>
        <rFont val="Times"/>
        <family val="1"/>
      </rPr>
      <t>U = ([</t>
    </r>
    <r>
      <rPr>
        <vertAlign val="superscript"/>
        <sz val="10"/>
        <rFont val="Times"/>
        <family val="1"/>
      </rPr>
      <t>234</t>
    </r>
    <r>
      <rPr>
        <sz val="10"/>
        <rFont val="Times"/>
        <family val="1"/>
      </rPr>
      <t>U/</t>
    </r>
    <r>
      <rPr>
        <vertAlign val="superscript"/>
        <sz val="10"/>
        <rFont val="Times"/>
        <family val="1"/>
      </rPr>
      <t>238</t>
    </r>
    <r>
      <rPr>
        <sz val="10"/>
        <rFont val="Times"/>
        <family val="1"/>
      </rPr>
      <t>U]</t>
    </r>
    <r>
      <rPr>
        <vertAlign val="subscript"/>
        <sz val="10"/>
        <rFont val="Times"/>
        <family val="1"/>
      </rPr>
      <t>activity</t>
    </r>
    <r>
      <rPr>
        <sz val="10"/>
        <rFont val="Times"/>
        <family val="1"/>
      </rPr>
      <t xml:space="preserve"> – 1)x1000.  **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Times"/>
        <family val="1"/>
      </rPr>
      <t>234</t>
    </r>
    <r>
      <rPr>
        <sz val="10"/>
        <rFont val="Times"/>
        <family val="1"/>
      </rPr>
      <t>U</t>
    </r>
    <r>
      <rPr>
        <vertAlign val="subscript"/>
        <sz val="10"/>
        <rFont val="Times"/>
        <family val="1"/>
      </rPr>
      <t>initial</t>
    </r>
    <r>
      <rPr>
        <sz val="10"/>
        <rFont val="Times"/>
        <family val="1"/>
      </rPr>
      <t xml:space="preserve"> was calculated based on </t>
    </r>
    <r>
      <rPr>
        <vertAlign val="superscript"/>
        <sz val="10"/>
        <rFont val="Times"/>
        <family val="1"/>
      </rPr>
      <t>230</t>
    </r>
    <r>
      <rPr>
        <sz val="10"/>
        <rFont val="Times"/>
        <family val="1"/>
      </rPr>
      <t xml:space="preserve">Th age (T), i.e.,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Times"/>
        <family val="1"/>
      </rPr>
      <t>234</t>
    </r>
    <r>
      <rPr>
        <sz val="10"/>
        <rFont val="Times"/>
        <family val="1"/>
      </rPr>
      <t>U</t>
    </r>
    <r>
      <rPr>
        <vertAlign val="subscript"/>
        <sz val="10"/>
        <rFont val="Times"/>
        <family val="1"/>
      </rPr>
      <t>initial</t>
    </r>
    <r>
      <rPr>
        <sz val="10"/>
        <rFont val="Times"/>
        <family val="1"/>
      </rPr>
      <t xml:space="preserve"> =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Times"/>
        <family val="1"/>
      </rPr>
      <t>234</t>
    </r>
    <r>
      <rPr>
        <sz val="10"/>
        <rFont val="Times"/>
        <family val="1"/>
      </rPr>
      <t>U</t>
    </r>
    <r>
      <rPr>
        <vertAlign val="subscript"/>
        <sz val="10"/>
        <rFont val="Times"/>
        <family val="1"/>
      </rPr>
      <t>measured</t>
    </r>
    <r>
      <rPr>
        <sz val="10"/>
        <rFont val="Times"/>
        <family val="1"/>
      </rPr>
      <t xml:space="preserve"> x e</t>
    </r>
    <r>
      <rPr>
        <vertAlign val="superscript"/>
        <sz val="10"/>
        <rFont val="Symbol"/>
        <family val="1"/>
        <charset val="2"/>
      </rPr>
      <t>l</t>
    </r>
    <r>
      <rPr>
        <vertAlign val="superscript"/>
        <sz val="9"/>
        <rFont val="Times"/>
        <family val="1"/>
      </rPr>
      <t>234</t>
    </r>
    <r>
      <rPr>
        <vertAlign val="superscript"/>
        <sz val="10"/>
        <rFont val="Times"/>
        <family val="1"/>
      </rPr>
      <t>xT</t>
    </r>
    <r>
      <rPr>
        <sz val="10"/>
        <rFont val="Times"/>
        <family val="1"/>
      </rPr>
      <t>.</t>
    </r>
    <r>
      <rPr>
        <sz val="13"/>
        <rFont val="Times"/>
        <family val="1"/>
      </rPr>
      <t xml:space="preserve">  </t>
    </r>
  </si>
  <si>
    <r>
      <t xml:space="preserve">Corrected </t>
    </r>
    <r>
      <rPr>
        <vertAlign val="superscript"/>
        <sz val="10"/>
        <rFont val="Times"/>
        <family val="1"/>
      </rPr>
      <t>230</t>
    </r>
    <r>
      <rPr>
        <sz val="10"/>
        <rFont val="Times"/>
        <family val="1"/>
      </rPr>
      <t xml:space="preserve">Th ages assume the initial </t>
    </r>
    <r>
      <rPr>
        <vertAlign val="superscript"/>
        <sz val="10"/>
        <rFont val="Times"/>
        <family val="1"/>
      </rPr>
      <t>230</t>
    </r>
    <r>
      <rPr>
        <sz val="10"/>
        <rFont val="Times"/>
        <family val="1"/>
      </rPr>
      <t>Th/</t>
    </r>
    <r>
      <rPr>
        <vertAlign val="superscript"/>
        <sz val="10"/>
        <rFont val="Times"/>
        <family val="1"/>
      </rPr>
      <t>232</t>
    </r>
    <r>
      <rPr>
        <sz val="10"/>
        <rFont val="Times"/>
        <family val="1"/>
      </rPr>
      <t xml:space="preserve">Th atomic ratio of 4.4 </t>
    </r>
    <r>
      <rPr>
        <sz val="7"/>
        <rFont val="Geneva"/>
        <family val="2"/>
      </rPr>
      <t xml:space="preserve"> </t>
    </r>
    <r>
      <rPr>
        <sz val="10"/>
        <rFont val="Times"/>
        <family val="1"/>
      </rPr>
      <t>±2.2 x10</t>
    </r>
    <r>
      <rPr>
        <vertAlign val="superscript"/>
        <sz val="10"/>
        <rFont val="Times"/>
        <family val="1"/>
      </rPr>
      <t>-6</t>
    </r>
    <r>
      <rPr>
        <sz val="10"/>
        <rFont val="Times"/>
        <family val="1"/>
      </rPr>
      <t xml:space="preserve">.   Those are the values for a material at secular </t>
    </r>
  </si>
  <si>
    <r>
      <t xml:space="preserve">equilibrium, with the bulk earth </t>
    </r>
    <r>
      <rPr>
        <vertAlign val="superscript"/>
        <sz val="10"/>
        <rFont val="Times"/>
        <family val="1"/>
      </rPr>
      <t>232</t>
    </r>
    <r>
      <rPr>
        <sz val="10"/>
        <rFont val="Times"/>
        <family val="1"/>
      </rPr>
      <t>Th/</t>
    </r>
    <r>
      <rPr>
        <vertAlign val="superscript"/>
        <sz val="10"/>
        <rFont val="Times"/>
        <family val="1"/>
      </rPr>
      <t>238</t>
    </r>
    <r>
      <rPr>
        <sz val="10"/>
        <rFont val="Times"/>
        <family val="1"/>
      </rPr>
      <t>U value of 3.8.  The errors are arbitrarily assumed to be 50%.</t>
    </r>
  </si>
  <si>
    <t>#Scan</t>
  </si>
  <si>
    <t>Sec.</t>
  </si>
  <si>
    <r>
      <t xml:space="preserve">232 </t>
    </r>
    <r>
      <rPr>
        <sz val="12"/>
        <color indexed="8"/>
        <rFont val="Times New Roman"/>
        <family val="1"/>
      </rPr>
      <t xml:space="preserve">count rate (cps) </t>
    </r>
    <r>
      <rPr>
        <b/>
        <sz val="12"/>
        <color indexed="8"/>
        <rFont val="Times New Roman"/>
        <family val="1"/>
      </rPr>
      <t>=</t>
    </r>
  </si>
  <si>
    <r>
      <t xml:space="preserve">229 </t>
    </r>
    <r>
      <rPr>
        <sz val="12"/>
        <color indexed="8"/>
        <rFont val="Times New Roman"/>
        <family val="1"/>
      </rPr>
      <t>count rate (cps)</t>
    </r>
    <r>
      <rPr>
        <b/>
        <sz val="12"/>
        <color indexed="8"/>
        <rFont val="Times New Roman"/>
        <family val="1"/>
      </rPr>
      <t xml:space="preserve"> =</t>
    </r>
  </si>
  <si>
    <t>232Th (mv)  =</t>
  </si>
  <si>
    <t xml:space="preserve">Mass </t>
  </si>
  <si>
    <t>238U</t>
  </si>
  <si>
    <t>Spike</t>
  </si>
  <si>
    <t>236U</t>
  </si>
  <si>
    <t>235U</t>
  </si>
  <si>
    <t>234U</t>
  </si>
  <si>
    <t>233U</t>
  </si>
  <si>
    <t>(corrected )</t>
  </si>
  <si>
    <t>Ratio</t>
  </si>
  <si>
    <t>Error (2s)</t>
  </si>
  <si>
    <t>No Ratios</t>
  </si>
  <si>
    <t>233U (cps)</t>
  </si>
  <si>
    <t>234U time</t>
  </si>
  <si>
    <t>234U Counting</t>
  </si>
  <si>
    <t>Scan</t>
  </si>
  <si>
    <t>233U ct time =</t>
  </si>
  <si>
    <t>234U ct time =</t>
  </si>
  <si>
    <t>235U ct time =</t>
  </si>
  <si>
    <r>
      <t xml:space="preserve">233 </t>
    </r>
    <r>
      <rPr>
        <sz val="12"/>
        <color indexed="8"/>
        <rFont val="Times New Roman"/>
        <family val="1"/>
      </rPr>
      <t>count rate cps)</t>
    </r>
    <r>
      <rPr>
        <b/>
        <sz val="12"/>
        <color indexed="8"/>
        <rFont val="Times New Roman"/>
        <family val="1"/>
      </rPr>
      <t xml:space="preserve"> =</t>
    </r>
  </si>
  <si>
    <t xml:space="preserve">***B.P. stands for “Before Present” where the “Present” is defined as the year 1950 A.D.  </t>
  </si>
  <si>
    <t>236U/233U(1)</t>
  </si>
  <si>
    <t>235U/233U(2)</t>
  </si>
  <si>
    <t>234U/235U(3)</t>
  </si>
  <si>
    <t>234U/233U(4)</t>
  </si>
  <si>
    <t>Ratio(1)</t>
  </si>
  <si>
    <t>F. No</t>
  </si>
  <si>
    <t>F. Factor</t>
  </si>
  <si>
    <t>Ratio(2)</t>
  </si>
  <si>
    <t>Ratio(3)</t>
  </si>
  <si>
    <t>Ratio(4)</t>
  </si>
  <si>
    <r>
      <t>d</t>
    </r>
    <r>
      <rPr>
        <b/>
        <vertAlign val="superscript"/>
        <sz val="10"/>
        <color indexed="12"/>
        <rFont val="Lucida Bright"/>
        <family val="1"/>
      </rPr>
      <t>234</t>
    </r>
    <r>
      <rPr>
        <b/>
        <sz val="10"/>
        <color indexed="12"/>
        <rFont val="Lucida Bright"/>
        <family val="1"/>
      </rPr>
      <t>U=</t>
    </r>
  </si>
  <si>
    <t>238U/235U=</t>
  </si>
  <si>
    <t>238U/233Uspk</t>
  </si>
  <si>
    <t>235U/233Uspk</t>
  </si>
  <si>
    <t>234U/233Uspk</t>
  </si>
  <si>
    <t>(235U/233U)n</t>
  </si>
  <si>
    <t>(234U/235U)n</t>
  </si>
  <si>
    <t>SEM-U</t>
  </si>
  <si>
    <t>(235U/233U)t</t>
  </si>
  <si>
    <t>(234U/235U)t</t>
  </si>
  <si>
    <t>(234U/233U)n</t>
  </si>
  <si>
    <r>
      <t>l</t>
    </r>
    <r>
      <rPr>
        <b/>
        <sz val="9"/>
        <rFont val="Lucida Bright"/>
        <family val="1"/>
      </rPr>
      <t>230 =</t>
    </r>
  </si>
  <si>
    <r>
      <t>l</t>
    </r>
    <r>
      <rPr>
        <b/>
        <sz val="9"/>
        <rFont val="Lucida Bright"/>
        <family val="1"/>
      </rPr>
      <t>232 =</t>
    </r>
  </si>
  <si>
    <r>
      <t>l</t>
    </r>
    <r>
      <rPr>
        <b/>
        <sz val="9"/>
        <rFont val="Lucida Bright"/>
        <family val="1"/>
      </rPr>
      <t>234 =</t>
    </r>
  </si>
  <si>
    <r>
      <t>l</t>
    </r>
    <r>
      <rPr>
        <b/>
        <sz val="9"/>
        <rFont val="Lucida Bright"/>
        <family val="1"/>
      </rPr>
      <t>238 =</t>
    </r>
  </si>
  <si>
    <t>New</t>
  </si>
  <si>
    <t>(238U/235U)=</t>
  </si>
  <si>
    <t>(235U/233U)m</t>
  </si>
  <si>
    <t>(234U/235U)m</t>
  </si>
  <si>
    <t>(234U/235U)nc</t>
  </si>
  <si>
    <t>(236U/233U)cn</t>
  </si>
  <si>
    <t>(236U/233U)c</t>
  </si>
  <si>
    <t>AS 238U-236U=</t>
  </si>
  <si>
    <t>AS 238U-234U=</t>
  </si>
  <si>
    <t>(236U/233U)m</t>
  </si>
  <si>
    <t>AS 238U-237=</t>
  </si>
  <si>
    <t>Number of ratios=</t>
  </si>
  <si>
    <t>234U blank(cps)</t>
  </si>
  <si>
    <t>Blank</t>
  </si>
  <si>
    <t>234U(cps) =</t>
  </si>
  <si>
    <t>233U (cps) =</t>
  </si>
  <si>
    <t>235U (cps) =</t>
  </si>
  <si>
    <r>
      <t xml:space="preserve">U decay constants: </t>
    </r>
    <r>
      <rPr>
        <sz val="11"/>
        <rFont val="Symbol"/>
        <family val="1"/>
        <charset val="2"/>
      </rPr>
      <t>l</t>
    </r>
    <r>
      <rPr>
        <vertAlign val="subscript"/>
        <sz val="11"/>
        <rFont val="Times New Roman"/>
        <family val="1"/>
      </rPr>
      <t>238</t>
    </r>
    <r>
      <rPr>
        <sz val="11"/>
        <rFont val="Times New Roman"/>
        <family val="1"/>
      </rPr>
      <t xml:space="preserve"> = 1.55125x10</t>
    </r>
    <r>
      <rPr>
        <vertAlign val="superscript"/>
        <sz val="11"/>
        <rFont val="Times New Roman"/>
        <family val="1"/>
      </rPr>
      <t>-10</t>
    </r>
    <r>
      <rPr>
        <sz val="11"/>
        <rFont val="Times New Roman"/>
        <family val="1"/>
      </rPr>
      <t xml:space="preserve"> (Jaffey et al., 1971) and</t>
    </r>
    <r>
      <rPr>
        <sz val="11"/>
        <rFont val="Symbol"/>
        <family val="1"/>
        <charset val="2"/>
      </rPr>
      <t xml:space="preserve"> l</t>
    </r>
    <r>
      <rPr>
        <vertAlign val="subscript"/>
        <sz val="11"/>
        <rFont val="Times New Roman"/>
        <family val="1"/>
      </rPr>
      <t>234</t>
    </r>
    <r>
      <rPr>
        <sz val="11"/>
        <rFont val="Times New Roman"/>
        <family val="1"/>
      </rPr>
      <t xml:space="preserve"> = 2.82206x10</t>
    </r>
    <r>
      <rPr>
        <vertAlign val="superscript"/>
        <sz val="11"/>
        <rFont val="Times New Roman"/>
        <family val="1"/>
      </rPr>
      <t xml:space="preserve">-6 </t>
    </r>
    <r>
      <rPr>
        <sz val="11"/>
        <rFont val="Times New Roman"/>
        <family val="1"/>
      </rPr>
      <t xml:space="preserve">(Cheng et al., 2013). Th decay constant:  </t>
    </r>
    <r>
      <rPr>
        <sz val="11"/>
        <rFont val="Symbol"/>
        <family val="1"/>
        <charset val="2"/>
      </rPr>
      <t>l</t>
    </r>
    <r>
      <rPr>
        <vertAlign val="subscript"/>
        <sz val="11"/>
        <rFont val="Times New Roman"/>
        <family val="1"/>
      </rPr>
      <t>230</t>
    </r>
    <r>
      <rPr>
        <sz val="11"/>
        <rFont val="Times New Roman"/>
        <family val="1"/>
      </rPr>
      <t xml:space="preserve"> = 9.1705x10</t>
    </r>
    <r>
      <rPr>
        <vertAlign val="superscript"/>
        <sz val="11"/>
        <rFont val="Times New Roman"/>
        <family val="1"/>
      </rPr>
      <t xml:space="preserve">-6 </t>
    </r>
    <r>
      <rPr>
        <sz val="11"/>
        <rFont val="Times New Roman"/>
        <family val="1"/>
      </rPr>
      <t>(Cheng et al., 2013).</t>
    </r>
  </si>
  <si>
    <t>SEM-Th</t>
  </si>
  <si>
    <t>236U/233U</t>
  </si>
  <si>
    <t>229Th</t>
  </si>
  <si>
    <t>230Th</t>
  </si>
  <si>
    <t>230Th/229Th</t>
  </si>
  <si>
    <t>229Th/232Th</t>
  </si>
  <si>
    <t>230Th/232Th</t>
  </si>
  <si>
    <t>Filter times</t>
  </si>
  <si>
    <t>error</t>
  </si>
  <si>
    <t>(236U/233U)m=</t>
  </si>
  <si>
    <t>Filter Factor</t>
  </si>
  <si>
    <t>(235U/233U)n=</t>
  </si>
  <si>
    <t>(236U/233U)c=</t>
  </si>
  <si>
    <t>(236U/233U)cn=</t>
  </si>
  <si>
    <t>(230Th/229Th)m=</t>
  </si>
  <si>
    <t>(232Th/229Th)m=</t>
  </si>
  <si>
    <t>(230Th/232Th)m=</t>
  </si>
  <si>
    <t>(230Th/229Th)c=</t>
  </si>
  <si>
    <t>(232Th/229Th)c=</t>
  </si>
  <si>
    <t>(230Th/229Th)cn=</t>
  </si>
  <si>
    <t>(232Th/229Th)cn=</t>
  </si>
  <si>
    <t>For Copy</t>
  </si>
  <si>
    <t>229Th(cps)=</t>
  </si>
  <si>
    <t>230Th(cps)=</t>
  </si>
  <si>
    <t>Scan No (230Th)=</t>
  </si>
  <si>
    <t>230Th (Sec.)=</t>
  </si>
  <si>
    <t>Counting error</t>
  </si>
  <si>
    <t>232Th yield error=</t>
  </si>
  <si>
    <t>A.S. 229Th-230Th=</t>
  </si>
  <si>
    <t>A.S. 232Th-230Th=</t>
  </si>
  <si>
    <t>A.S. 232Th-229Th=</t>
  </si>
  <si>
    <t>232Th</t>
  </si>
  <si>
    <t>236/233=</t>
  </si>
  <si>
    <t>238/233=</t>
  </si>
  <si>
    <t>235/233=</t>
  </si>
  <si>
    <t>234/233=</t>
  </si>
  <si>
    <t>Old Machine</t>
  </si>
  <si>
    <r>
      <t>(spike corr)</t>
    </r>
    <r>
      <rPr>
        <b/>
        <sz val="12"/>
        <color indexed="8"/>
        <rFont val="Times New Roman"/>
        <family val="1"/>
      </rPr>
      <t xml:space="preserve"> 232/229 =</t>
    </r>
  </si>
  <si>
    <t>232Th/229Th in spike</t>
  </si>
  <si>
    <t>Sample No</t>
  </si>
  <si>
    <t>Sample Wt. (g)</t>
  </si>
  <si>
    <t>230Th/229Th(spk)</t>
  </si>
  <si>
    <t>Spl-D-III-B Wt. (g)</t>
  </si>
  <si>
    <t>Spl-D-III-C Value pmol/g</t>
  </si>
  <si>
    <t>S cts 234 =</t>
  </si>
  <si>
    <t>not yet implemented</t>
  </si>
  <si>
    <t>WICC 009B.1</t>
  </si>
  <si>
    <t>WICC 009B.2</t>
  </si>
  <si>
    <t>WICC 009B.3</t>
  </si>
  <si>
    <t>WICC 009B.4</t>
  </si>
  <si>
    <t>WICC 002.1</t>
  </si>
  <si>
    <t>WICC 002.2</t>
  </si>
  <si>
    <t>WICC 002.3</t>
  </si>
  <si>
    <t>WICC 008.1</t>
  </si>
  <si>
    <t>WICC 008.2</t>
  </si>
  <si>
    <t>WICC 008A.3</t>
  </si>
  <si>
    <t>WICC 009A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</si>
</sst>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6">
    <numFmt numFmtId="164" formatCode="0.000000"/>
    <numFmt numFmtId="165" formatCode="0.00000"/>
    <numFmt numFmtId="166" formatCode="0.0000"/>
    <numFmt numFmtId="167" formatCode="0.000"/>
    <numFmt numFmtId="168" formatCode="0.0"/>
    <numFmt numFmtId="169" formatCode="0.0000000"/>
    <numFmt numFmtId="170" formatCode="0.00000000"/>
    <numFmt numFmtId="171" formatCode="0.0000E+00"/>
    <numFmt numFmtId="172" formatCode="\±0"/>
    <numFmt numFmtId="173" formatCode="0.0E+0"/>
    <numFmt numFmtId="174" formatCode="\±\ 0.0000"/>
    <numFmt numFmtId="175" formatCode="\±\ 0.00"/>
    <numFmt numFmtId="176" formatCode="\±\ 0"/>
    <numFmt numFmtId="177" formatCode="\+0"/>
    <numFmt numFmtId="178" formatCode="\-0"/>
    <numFmt numFmtId="179" formatCode="\±\ 0.00000"/>
    <numFmt numFmtId="180" formatCode="\±0.00E+00"/>
    <numFmt numFmtId="181" formatCode="#,##0.0"/>
    <numFmt numFmtId="182" formatCode="\±\ 0.0"/>
    <numFmt numFmtId="183" formatCode="\ \-\ 0.0000"/>
    <numFmt numFmtId="184" formatCode="0.00000E+00"/>
    <numFmt numFmtId="185" formatCode="\±\ \ 0"/>
    <numFmt numFmtId="186" formatCode="\±\ 0.0E+00"/>
    <numFmt numFmtId="187" formatCode="\±\ \ 0.000000"/>
    <numFmt numFmtId="188" formatCode="\ \ \-0.0"/>
    <numFmt numFmtId="189" formatCode="\+0.0"/>
    <numFmt numFmtId="190" formatCode="\-0.0"/>
    <numFmt numFmtId="191" formatCode="\ \ \+0"/>
    <numFmt numFmtId="192" formatCode="\±\ \ #,###"/>
    <numFmt numFmtId="193" formatCode="\±\ #,###"/>
    <numFmt numFmtId="194" formatCode="\-\ 0.00E+0"/>
    <numFmt numFmtId="195" formatCode="\+\ 0.00E+0"/>
    <numFmt numFmtId="196" formatCode="\±0.00000"/>
    <numFmt numFmtId="197" formatCode="\±0.0"/>
    <numFmt numFmtId="198" formatCode="0.000%"/>
    <numFmt numFmtId="199" formatCode="\±0.0000"/>
    <numFmt numFmtId="200" formatCode="0.0%"/>
    <numFmt numFmtId="201" formatCode="m/d/yy;@"/>
    <numFmt numFmtId="202" formatCode="#,##0.000000"/>
    <numFmt numFmtId="203" formatCode="0.0000000E+00;\_x0000_"/>
    <numFmt numFmtId="204" formatCode="#,##0.00000000"/>
    <numFmt numFmtId="205" formatCode="#,##0.0000"/>
    <numFmt numFmtId="206" formatCode="0.0000000000"/>
    <numFmt numFmtId="207" formatCode="0.00000000000"/>
    <numFmt numFmtId="208" formatCode="\+0.00000"/>
    <numFmt numFmtId="209" formatCode="0.000000000000"/>
  </numFmts>
  <fonts count="137">
    <font>
      <sz val="10"/>
      <name val="Lucida Bright"/>
      <family val="1"/>
    </font>
    <font>
      <sz val="10"/>
      <name val="Geneva"/>
      <family val="2"/>
    </font>
    <font>
      <sz val="10"/>
      <name val="Arial"/>
      <family val="2"/>
    </font>
    <font>
      <b/>
      <sz val="12"/>
      <color indexed="8"/>
      <name val="Symbol"/>
      <family val="1"/>
      <charset val="2"/>
    </font>
    <font>
      <b/>
      <sz val="12"/>
      <color indexed="8"/>
      <name val="Times New Roman"/>
      <family val="1"/>
    </font>
    <font>
      <sz val="12"/>
      <name val="Symbol"/>
      <family val="1"/>
      <charset val="2"/>
    </font>
    <font>
      <sz val="12"/>
      <color indexed="12"/>
      <name val="Times New Roman"/>
      <family val="1"/>
    </font>
    <font>
      <sz val="12"/>
      <color indexed="8"/>
      <name val="Times New Roman"/>
      <family val="1"/>
    </font>
    <font>
      <b/>
      <sz val="14"/>
      <color indexed="8"/>
      <name val="Times New Roman"/>
      <family val="1"/>
    </font>
    <font>
      <sz val="12"/>
      <name val="Times New Roman"/>
      <family val="1"/>
    </font>
    <font>
      <b/>
      <sz val="11"/>
      <color indexed="8"/>
      <name val="Times New Roman"/>
      <family val="1"/>
    </font>
    <font>
      <b/>
      <i/>
      <sz val="14"/>
      <color indexed="8"/>
      <name val="Times New Roman"/>
      <family val="1"/>
    </font>
    <font>
      <sz val="12"/>
      <color indexed="10"/>
      <name val="Times New Roman"/>
      <family val="1"/>
    </font>
    <font>
      <sz val="14"/>
      <color indexed="8"/>
      <name val="Times New Roman"/>
      <family val="1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name val="Times New Roman"/>
      <family val="1"/>
    </font>
    <font>
      <b/>
      <sz val="8"/>
      <color indexed="8"/>
      <name val="Times New Roman"/>
      <family val="1"/>
    </font>
    <font>
      <b/>
      <vertAlign val="superscript"/>
      <sz val="12"/>
      <color indexed="8"/>
      <name val="Times New Roman"/>
      <family val="1"/>
    </font>
    <font>
      <sz val="12"/>
      <color indexed="50"/>
      <name val="Times New Roman"/>
      <family val="1"/>
    </font>
    <font>
      <sz val="14"/>
      <name val="Times New Roman"/>
      <family val="1"/>
    </font>
    <font>
      <sz val="9"/>
      <color indexed="8"/>
      <name val="Times New Roman"/>
      <family val="1"/>
    </font>
    <font>
      <b/>
      <sz val="12"/>
      <name val="Times New Roman"/>
      <family val="1"/>
    </font>
    <font>
      <sz val="10"/>
      <color indexed="12"/>
      <name val="Times New Roman"/>
      <family val="1"/>
    </font>
    <font>
      <b/>
      <sz val="9"/>
      <color indexed="10"/>
      <name val="Times New Roman"/>
      <family val="1"/>
    </font>
    <font>
      <sz val="11"/>
      <name val="Times New Roman"/>
      <family val="1"/>
    </font>
    <font>
      <b/>
      <sz val="10"/>
      <name val="Times New Roman"/>
      <family val="1"/>
    </font>
    <font>
      <sz val="8"/>
      <color indexed="8"/>
      <name val="Times New Roman"/>
      <family val="1"/>
    </font>
    <font>
      <sz val="11"/>
      <color indexed="8"/>
      <name val="Times New Roman"/>
      <family val="1"/>
    </font>
    <font>
      <b/>
      <sz val="12"/>
      <name val="Symbol"/>
      <family val="1"/>
      <charset val="2"/>
    </font>
    <font>
      <sz val="12"/>
      <color indexed="14"/>
      <name val="Times New Roman"/>
      <family val="1"/>
    </font>
    <font>
      <sz val="12"/>
      <color indexed="17"/>
      <name val="Times New Roman"/>
      <family val="1"/>
    </font>
    <font>
      <b/>
      <i/>
      <sz val="18"/>
      <color indexed="56"/>
      <name val="Times New Roman"/>
      <family val="1"/>
    </font>
    <font>
      <b/>
      <sz val="12"/>
      <color indexed="61"/>
      <name val="Times New Roman"/>
      <family val="1"/>
    </font>
    <font>
      <i/>
      <sz val="12"/>
      <name val="Times New Roman"/>
      <family val="1"/>
    </font>
    <font>
      <b/>
      <sz val="14"/>
      <color indexed="12"/>
      <name val="Times New Roman"/>
      <family val="1"/>
    </font>
    <font>
      <b/>
      <sz val="12"/>
      <color indexed="17"/>
      <name val="Times New Roman"/>
      <family val="1"/>
    </font>
    <font>
      <b/>
      <sz val="12"/>
      <color indexed="56"/>
      <name val="Times New Roman"/>
      <family val="1"/>
    </font>
    <font>
      <b/>
      <i/>
      <sz val="16"/>
      <color indexed="56"/>
      <name val="Times New Roman"/>
      <family val="1"/>
    </font>
    <font>
      <sz val="10"/>
      <name val="Tms Rmn"/>
    </font>
    <font>
      <b/>
      <sz val="12"/>
      <name val="Tms Rmn"/>
    </font>
    <font>
      <b/>
      <sz val="10"/>
      <name val="Tms Rmn"/>
    </font>
    <font>
      <sz val="12"/>
      <color indexed="58"/>
      <name val="Tms Rmn"/>
    </font>
    <font>
      <b/>
      <i/>
      <sz val="12"/>
      <color indexed="50"/>
      <name val="Tms Rmn"/>
    </font>
    <font>
      <sz val="12"/>
      <color indexed="56"/>
      <name val="Tms Rmn"/>
    </font>
    <font>
      <sz val="12"/>
      <color indexed="8"/>
      <name val="Tms Rmn"/>
    </font>
    <font>
      <b/>
      <sz val="12"/>
      <color indexed="8"/>
      <name val="Tms Rmn"/>
    </font>
    <font>
      <b/>
      <sz val="14"/>
      <color indexed="8"/>
      <name val="Tms Rmn"/>
    </font>
    <font>
      <b/>
      <sz val="11"/>
      <color indexed="8"/>
      <name val="Tms Rmn"/>
    </font>
    <font>
      <sz val="12"/>
      <name val="Tms Rmn"/>
    </font>
    <font>
      <sz val="12"/>
      <color indexed="61"/>
      <name val="Tms Rmn"/>
    </font>
    <font>
      <sz val="10"/>
      <color indexed="12"/>
      <name val="Tms Rmn"/>
    </font>
    <font>
      <b/>
      <sz val="10"/>
      <color indexed="8"/>
      <name val="Tms Rmn"/>
    </font>
    <font>
      <sz val="12"/>
      <name val="Symbol"/>
      <family val="1"/>
      <charset val="2"/>
    </font>
    <font>
      <sz val="8"/>
      <color indexed="8"/>
      <name val="Tms Rmn"/>
    </font>
    <font>
      <sz val="12"/>
      <color indexed="50"/>
      <name val="Tms Rmn"/>
    </font>
    <font>
      <b/>
      <sz val="12"/>
      <color indexed="12"/>
      <name val="Tms Rmn"/>
    </font>
    <font>
      <sz val="12"/>
      <color indexed="12"/>
      <name val="Tms Rmn"/>
    </font>
    <font>
      <b/>
      <sz val="12"/>
      <color indexed="12"/>
      <name val="Symbol"/>
      <family val="1"/>
      <charset val="2"/>
    </font>
    <font>
      <sz val="12"/>
      <color indexed="21"/>
      <name val="Times New Roman"/>
      <family val="1"/>
    </font>
    <font>
      <b/>
      <sz val="12"/>
      <color indexed="12"/>
      <name val="Times New Roman"/>
      <family val="1"/>
    </font>
    <font>
      <b/>
      <sz val="10"/>
      <color indexed="50"/>
      <name val="Times New Roman"/>
      <family val="1"/>
    </font>
    <font>
      <sz val="10"/>
      <color indexed="50"/>
      <name val="Times New Roman"/>
      <family val="1"/>
    </font>
    <font>
      <sz val="10"/>
      <name val="Lucida Bright"/>
      <family val="1"/>
    </font>
    <font>
      <b/>
      <sz val="9"/>
      <name val="Geneva"/>
      <family val="2"/>
    </font>
    <font>
      <b/>
      <sz val="9"/>
      <name val="Symbol"/>
      <family val="1"/>
      <charset val="2"/>
    </font>
    <font>
      <b/>
      <vertAlign val="subscript"/>
      <sz val="9"/>
      <name val="Geneva"/>
      <family val="2"/>
    </font>
    <font>
      <sz val="12"/>
      <name val="Times"/>
      <family val="1"/>
    </font>
    <font>
      <vertAlign val="superscript"/>
      <sz val="10"/>
      <name val="Times"/>
      <family val="1"/>
    </font>
    <font>
      <b/>
      <vertAlign val="superscript"/>
      <sz val="10"/>
      <name val="Geneva"/>
      <family val="2"/>
    </font>
    <font>
      <b/>
      <sz val="8"/>
      <name val="Geneva"/>
      <family val="2"/>
    </font>
    <font>
      <sz val="10"/>
      <name val="Times"/>
      <family val="1"/>
    </font>
    <font>
      <sz val="10"/>
      <name val="Symbol"/>
      <family val="1"/>
      <charset val="2"/>
    </font>
    <font>
      <vertAlign val="subscript"/>
      <sz val="10"/>
      <name val="Times"/>
      <family val="1"/>
    </font>
    <font>
      <vertAlign val="superscript"/>
      <sz val="10"/>
      <name val="Symbol"/>
      <family val="1"/>
      <charset val="2"/>
    </font>
    <font>
      <vertAlign val="superscript"/>
      <sz val="9"/>
      <name val="Times"/>
      <family val="1"/>
    </font>
    <font>
      <sz val="13"/>
      <name val="Times"/>
      <family val="1"/>
    </font>
    <font>
      <sz val="7"/>
      <name val="Geneva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9"/>
      <color indexed="16"/>
      <name val="Arial"/>
      <family val="2"/>
    </font>
    <font>
      <b/>
      <sz val="9"/>
      <color indexed="12"/>
      <name val="Arial"/>
      <family val="2"/>
    </font>
    <font>
      <b/>
      <sz val="9"/>
      <color indexed="17"/>
      <name val="Arial"/>
      <family val="2"/>
    </font>
    <font>
      <sz val="9"/>
      <color indexed="16"/>
      <name val="Arial"/>
      <family val="2"/>
    </font>
    <font>
      <sz val="12"/>
      <color indexed="56"/>
      <name val="Times New Roman"/>
      <family val="1"/>
    </font>
    <font>
      <b/>
      <vertAlign val="superscript"/>
      <sz val="10"/>
      <color indexed="12"/>
      <name val="Geneva"/>
      <family val="2"/>
    </font>
    <font>
      <b/>
      <sz val="9"/>
      <color indexed="12"/>
      <name val="Geneva"/>
      <family val="2"/>
    </font>
    <font>
      <sz val="10"/>
      <color indexed="12"/>
      <name val="Lucida Bright"/>
      <family val="1"/>
    </font>
    <font>
      <b/>
      <sz val="10"/>
      <color indexed="12"/>
      <name val="Times New Roman"/>
      <family val="1"/>
    </font>
    <font>
      <sz val="8"/>
      <name val="Lucida Bright"/>
      <family val="1"/>
    </font>
    <font>
      <b/>
      <sz val="10"/>
      <color indexed="10"/>
      <name val="Lucida Bright"/>
      <family val="1"/>
    </font>
    <font>
      <b/>
      <sz val="10"/>
      <color indexed="12"/>
      <name val="Lucida Bright"/>
      <family val="1"/>
    </font>
    <font>
      <b/>
      <sz val="10"/>
      <color indexed="16"/>
      <name val="Lucida Bright"/>
      <family val="1"/>
    </font>
    <font>
      <b/>
      <sz val="10"/>
      <name val="Lucida Bright"/>
      <family val="1"/>
    </font>
    <font>
      <b/>
      <sz val="10"/>
      <color indexed="56"/>
      <name val="Lucida Bright"/>
      <family val="1"/>
    </font>
    <font>
      <b/>
      <vertAlign val="superscript"/>
      <sz val="10"/>
      <color indexed="12"/>
      <name val="Lucida Bright"/>
      <family val="1"/>
    </font>
    <font>
      <b/>
      <sz val="10"/>
      <color indexed="12"/>
      <name val="Symbol"/>
      <family val="1"/>
      <charset val="2"/>
    </font>
    <font>
      <b/>
      <sz val="10"/>
      <color indexed="17"/>
      <name val="Times New Roman"/>
      <family val="1"/>
    </font>
    <font>
      <b/>
      <sz val="10"/>
      <color indexed="14"/>
      <name val="Lucida Bright"/>
      <family val="1"/>
    </font>
    <font>
      <sz val="11"/>
      <color indexed="14"/>
      <name val="Times New Roman"/>
      <family val="1"/>
    </font>
    <font>
      <b/>
      <sz val="9"/>
      <name val="Lucida Bright"/>
      <family val="1"/>
    </font>
    <font>
      <b/>
      <sz val="12"/>
      <color indexed="50"/>
      <name val="Times New Roman"/>
      <family val="1"/>
    </font>
    <font>
      <b/>
      <sz val="10"/>
      <color indexed="50"/>
      <name val="Lucida Bright"/>
      <family val="1"/>
    </font>
    <font>
      <b/>
      <sz val="10"/>
      <color indexed="10"/>
      <name val="Times New Roman"/>
      <family val="1"/>
    </font>
    <font>
      <b/>
      <sz val="12"/>
      <color indexed="16"/>
      <name val="Times New Roman"/>
      <family val="1"/>
    </font>
    <font>
      <b/>
      <sz val="10"/>
      <color indexed="16"/>
      <name val="Lucida Bright"/>
      <family val="1"/>
    </font>
    <font>
      <sz val="12"/>
      <color rgb="FF008000"/>
      <name val="Century Gothic"/>
      <family val="2"/>
    </font>
    <font>
      <b/>
      <sz val="12"/>
      <color rgb="FF008000"/>
      <name val="Tms Rmn"/>
    </font>
    <font>
      <b/>
      <sz val="14"/>
      <color rgb="FF008000"/>
      <name val="Book Antiqua"/>
      <family val="1"/>
    </font>
    <font>
      <sz val="11"/>
      <name val="Symbol"/>
      <family val="1"/>
      <charset val="2"/>
    </font>
    <font>
      <vertAlign val="subscript"/>
      <sz val="11"/>
      <name val="Times New Roman"/>
      <family val="1"/>
    </font>
    <font>
      <vertAlign val="superscript"/>
      <sz val="11"/>
      <name val="Times New Roman"/>
      <family val="1"/>
    </font>
    <font>
      <u/>
      <sz val="10"/>
      <color theme="10"/>
      <name val="Lucida Bright"/>
      <family val="1"/>
    </font>
    <font>
      <u/>
      <sz val="10"/>
      <color theme="11"/>
      <name val="Lucida Bright"/>
      <family val="1"/>
    </font>
    <font>
      <b/>
      <sz val="10"/>
      <color indexed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color indexed="40"/>
      <name val="Arial"/>
      <family val="2"/>
    </font>
    <font>
      <b/>
      <sz val="9"/>
      <color indexed="10"/>
      <name val="Arial"/>
      <family val="2"/>
    </font>
    <font>
      <b/>
      <sz val="9"/>
      <color indexed="14"/>
      <name val="Arial"/>
      <family val="2"/>
    </font>
    <font>
      <b/>
      <sz val="10"/>
      <color indexed="17"/>
      <name val="Lucida Bright"/>
      <family val="1"/>
    </font>
    <font>
      <b/>
      <sz val="10"/>
      <color indexed="16"/>
      <name val="Arial"/>
      <family val="2"/>
    </font>
    <font>
      <sz val="9"/>
      <color indexed="17"/>
      <name val="Arial"/>
      <family val="2"/>
    </font>
    <font>
      <i/>
      <sz val="10"/>
      <color indexed="53"/>
      <name val="Arial"/>
      <family val="2"/>
    </font>
    <font>
      <b/>
      <sz val="9"/>
      <color indexed="50"/>
      <name val="Arial"/>
      <family val="2"/>
    </font>
    <font>
      <b/>
      <sz val="10"/>
      <color rgb="FF0000FF"/>
      <name val="Times New Roman"/>
      <family val="1"/>
    </font>
    <font>
      <sz val="9"/>
      <name val="宋体"/>
      <family val="3"/>
      <charset val="134"/>
    </font>
    <font>
      <b/>
      <sz val="12"/>
      <color rgb="FF800000"/>
      <name val="Times New Roman"/>
      <family val="1"/>
    </font>
    <font>
      <sz val="14"/>
      <color indexed="8"/>
      <name val="宋体"/>
      <family val="1"/>
      <charset val="134"/>
    </font>
    <font>
      <sz val="10"/>
      <name val="MS Sans Serif"/>
      <family val="2"/>
    </font>
    <font>
      <b/>
      <sz val="10"/>
      <color indexed="8"/>
      <name val="Arial"/>
      <family val="2"/>
    </font>
    <font>
      <b/>
      <sz val="10"/>
      <color rgb="FF008000"/>
      <name val="Arial"/>
      <family val="2"/>
    </font>
    <font>
      <b/>
      <i/>
      <sz val="10"/>
      <color rgb="FF008000"/>
      <name val="Times New Roman"/>
      <family val="1"/>
    </font>
    <font>
      <b/>
      <sz val="10"/>
      <color rgb="FF008000"/>
      <name val="Times New Roman"/>
      <family val="1"/>
    </font>
    <font>
      <b/>
      <i/>
      <sz val="12"/>
      <color indexed="17"/>
      <name val="Times New Roman"/>
      <family val="1"/>
    </font>
    <font>
      <sz val="11"/>
      <color theme="0"/>
      <name val="Calibri"/>
      <family val="2"/>
      <scheme val="minor"/>
    </font>
    <font>
      <sz val="12"/>
      <color theme="0" tint="-0.34998626667073579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22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7"/>
        <bgColor indexed="13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indexed="13"/>
      </patternFill>
    </fill>
    <fill>
      <patternFill patternType="solid">
        <fgColor theme="4"/>
      </patternFill>
    </fill>
    <fill>
      <patternFill patternType="solid">
        <fgColor rgb="FF00B0F0"/>
        <bgColor indexed="13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hair">
        <color indexed="8"/>
      </top>
      <bottom/>
      <diagonal/>
    </border>
    <border>
      <left/>
      <right/>
      <top style="hair">
        <color indexed="8"/>
      </top>
      <bottom/>
      <diagonal/>
    </border>
    <border>
      <left/>
      <right style="double">
        <color auto="1"/>
      </right>
      <top style="hair">
        <color indexed="8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58"/>
      </left>
      <right/>
      <top style="medium">
        <color indexed="58"/>
      </top>
      <bottom style="medium">
        <color indexed="58"/>
      </bottom>
      <diagonal/>
    </border>
    <border>
      <left/>
      <right/>
      <top style="medium">
        <color indexed="58"/>
      </top>
      <bottom style="medium">
        <color indexed="58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 style="medium">
        <color indexed="58"/>
      </top>
      <bottom style="medium">
        <color indexed="58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10"/>
      </bottom>
      <diagonal/>
    </border>
    <border>
      <left style="double">
        <color indexed="58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4">
    <xf numFmtId="0" fontId="0" fillId="0" borderId="0"/>
    <xf numFmtId="4" fontId="1" fillId="0" borderId="0" applyFont="0" applyFill="0" applyBorder="0" applyAlignment="0" applyProtection="0"/>
    <xf numFmtId="0" fontId="2" fillId="0" borderId="0"/>
    <xf numFmtId="0" fontId="63" fillId="0" borderId="0"/>
    <xf numFmtId="0" fontId="2" fillId="0" borderId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2" fillId="0" borderId="0"/>
    <xf numFmtId="0" fontId="129" fillId="0" borderId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35" fillId="11" borderId="0" applyNumberFormat="0" applyBorder="0" applyAlignment="0" applyProtection="0"/>
  </cellStyleXfs>
  <cellXfs count="564">
    <xf numFmtId="0" fontId="0" fillId="0" borderId="0" xfId="0"/>
    <xf numFmtId="0" fontId="4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7" fillId="0" borderId="2" xfId="0" applyFont="1" applyFill="1" applyBorder="1" applyAlignment="1">
      <alignment horizontal="right"/>
    </xf>
    <xf numFmtId="0" fontId="4" fillId="0" borderId="2" xfId="0" applyFont="1" applyFill="1" applyBorder="1" applyAlignment="1">
      <alignment horizontal="right"/>
    </xf>
    <xf numFmtId="14" fontId="9" fillId="0" borderId="2" xfId="0" applyNumberFormat="1" applyFont="1" applyFill="1" applyBorder="1" applyAlignment="1">
      <alignment horizontal="center"/>
    </xf>
    <xf numFmtId="15" fontId="9" fillId="0" borderId="2" xfId="0" applyNumberFormat="1" applyFont="1" applyFill="1" applyBorder="1" applyAlignment="1">
      <alignment horizontal="center"/>
    </xf>
    <xf numFmtId="15" fontId="10" fillId="0" borderId="2" xfId="0" applyNumberFormat="1" applyFont="1" applyFill="1" applyBorder="1" applyAlignment="1">
      <alignment horizontal="center"/>
    </xf>
    <xf numFmtId="0" fontId="7" fillId="0" borderId="3" xfId="0" applyFont="1" applyFill="1" applyBorder="1" applyAlignment="1">
      <alignment horizontal="right"/>
    </xf>
    <xf numFmtId="0" fontId="7" fillId="0" borderId="0" xfId="0" applyFont="1" applyFill="1" applyBorder="1"/>
    <xf numFmtId="0" fontId="7" fillId="3" borderId="0" xfId="0" applyFont="1" applyFill="1" applyBorder="1"/>
    <xf numFmtId="0" fontId="7" fillId="3" borderId="0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Continuous"/>
    </xf>
    <xf numFmtId="0" fontId="4" fillId="0" borderId="4" xfId="0" applyFont="1" applyFill="1" applyBorder="1" applyAlignment="1">
      <alignment horizontal="right"/>
    </xf>
    <xf numFmtId="14" fontId="7" fillId="0" borderId="4" xfId="0" applyNumberFormat="1" applyFont="1" applyFill="1" applyBorder="1" applyAlignment="1">
      <alignment horizontal="center"/>
    </xf>
    <xf numFmtId="0" fontId="4" fillId="0" borderId="5" xfId="0" applyFont="1" applyFill="1" applyBorder="1" applyAlignment="1">
      <alignment horizontal="centerContinuous"/>
    </xf>
    <xf numFmtId="0" fontId="8" fillId="2" borderId="6" xfId="0" applyFont="1" applyFill="1" applyBorder="1" applyAlignment="1"/>
    <xf numFmtId="0" fontId="8" fillId="2" borderId="7" xfId="0" applyFont="1" applyFill="1" applyBorder="1" applyAlignment="1"/>
    <xf numFmtId="0" fontId="11" fillId="2" borderId="7" xfId="0" applyFont="1" applyFill="1" applyBorder="1" applyAlignment="1">
      <alignment horizontal="centerContinuous"/>
    </xf>
    <xf numFmtId="0" fontId="7" fillId="4" borderId="7" xfId="0" applyFont="1" applyFill="1" applyBorder="1" applyAlignment="1">
      <alignment horizontal="left"/>
    </xf>
    <xf numFmtId="0" fontId="13" fillId="4" borderId="7" xfId="0" applyFont="1" applyFill="1" applyBorder="1" applyAlignment="1">
      <alignment horizontal="left"/>
    </xf>
    <xf numFmtId="0" fontId="8" fillId="2" borderId="7" xfId="0" applyFont="1" applyFill="1" applyBorder="1" applyAlignment="1">
      <alignment horizontal="centerContinuous"/>
    </xf>
    <xf numFmtId="0" fontId="13" fillId="4" borderId="8" xfId="0" applyFont="1" applyFill="1" applyBorder="1" applyAlignment="1">
      <alignment horizontal="right"/>
    </xf>
    <xf numFmtId="0" fontId="13" fillId="0" borderId="0" xfId="0" applyFont="1" applyFill="1" applyBorder="1"/>
    <xf numFmtId="0" fontId="13" fillId="3" borderId="0" xfId="0" applyFont="1" applyFill="1" applyBorder="1"/>
    <xf numFmtId="0" fontId="13" fillId="3" borderId="0" xfId="0" applyFont="1" applyFill="1" applyBorder="1" applyAlignment="1">
      <alignment horizontal="center"/>
    </xf>
    <xf numFmtId="0" fontId="13" fillId="4" borderId="9" xfId="0" applyFont="1" applyFill="1" applyBorder="1" applyAlignment="1">
      <alignment horizontal="left"/>
    </xf>
    <xf numFmtId="0" fontId="13" fillId="4" borderId="0" xfId="0" applyFont="1" applyFill="1" applyBorder="1"/>
    <xf numFmtId="0" fontId="4" fillId="2" borderId="0" xfId="0" applyFont="1" applyFill="1" applyBorder="1" applyAlignment="1">
      <alignment horizontal="centerContinuous"/>
    </xf>
    <xf numFmtId="0" fontId="4" fillId="4" borderId="0" xfId="0" applyFont="1" applyFill="1" applyBorder="1" applyAlignment="1">
      <alignment horizontal="centerContinuous"/>
    </xf>
    <xf numFmtId="0" fontId="4" fillId="2" borderId="0" xfId="0" applyFont="1" applyFill="1" applyBorder="1" applyAlignment="1">
      <alignment horizontal="left"/>
    </xf>
    <xf numFmtId="0" fontId="7" fillId="4" borderId="0" xfId="0" applyFont="1" applyFill="1" applyBorder="1" applyAlignment="1">
      <alignment horizontal="left"/>
    </xf>
    <xf numFmtId="0" fontId="7" fillId="4" borderId="0" xfId="0" applyFont="1" applyFill="1" applyBorder="1" applyAlignment="1">
      <alignment horizontal="centerContinuous"/>
    </xf>
    <xf numFmtId="0" fontId="4" fillId="4" borderId="0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right"/>
    </xf>
    <xf numFmtId="0" fontId="16" fillId="0" borderId="0" xfId="0" applyFont="1" applyFill="1"/>
    <xf numFmtId="0" fontId="8" fillId="2" borderId="9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right"/>
    </xf>
    <xf numFmtId="0" fontId="4" fillId="2" borderId="9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0" fontId="20" fillId="3" borderId="0" xfId="0" applyFont="1" applyFill="1" applyBorder="1"/>
    <xf numFmtId="164" fontId="7" fillId="3" borderId="0" xfId="0" applyNumberFormat="1" applyFont="1" applyFill="1" applyBorder="1" applyAlignment="1">
      <alignment horizontal="center"/>
    </xf>
    <xf numFmtId="0" fontId="16" fillId="0" borderId="0" xfId="0" applyFont="1" applyFill="1" applyBorder="1"/>
    <xf numFmtId="0" fontId="16" fillId="3" borderId="0" xfId="0" applyFont="1" applyFill="1" applyBorder="1"/>
    <xf numFmtId="0" fontId="7" fillId="3" borderId="0" xfId="0" applyFont="1" applyFill="1" applyBorder="1" applyAlignment="1">
      <alignment horizontal="right"/>
    </xf>
    <xf numFmtId="164" fontId="7" fillId="3" borderId="0" xfId="0" applyNumberFormat="1" applyFont="1" applyFill="1" applyBorder="1"/>
    <xf numFmtId="0" fontId="21" fillId="0" borderId="0" xfId="0" applyFont="1" applyFill="1" applyBorder="1"/>
    <xf numFmtId="0" fontId="20" fillId="0" borderId="0" xfId="0" applyFont="1" applyFill="1"/>
    <xf numFmtId="0" fontId="13" fillId="0" borderId="0" xfId="0" applyFont="1" applyFill="1" applyBorder="1" applyAlignment="1">
      <alignment horizontal="centerContinuous"/>
    </xf>
    <xf numFmtId="0" fontId="16" fillId="0" borderId="0" xfId="0" applyFont="1"/>
    <xf numFmtId="164" fontId="7" fillId="0" borderId="0" xfId="0" applyNumberFormat="1" applyFont="1" applyFill="1" applyBorder="1" applyAlignment="1">
      <alignment horizontal="center"/>
    </xf>
    <xf numFmtId="0" fontId="13" fillId="4" borderId="0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Continuous"/>
    </xf>
    <xf numFmtId="0" fontId="4" fillId="2" borderId="0" xfId="0" applyFont="1" applyFill="1" applyBorder="1" applyAlignment="1">
      <alignment horizontal="right"/>
    </xf>
    <xf numFmtId="15" fontId="22" fillId="0" borderId="2" xfId="0" applyNumberFormat="1" applyFont="1" applyFill="1" applyBorder="1" applyAlignment="1">
      <alignment horizontal="center"/>
    </xf>
    <xf numFmtId="184" fontId="16" fillId="0" borderId="0" xfId="0" applyNumberFormat="1" applyFont="1" applyFill="1"/>
    <xf numFmtId="0" fontId="9" fillId="0" borderId="0" xfId="0" applyFont="1" applyFill="1" applyBorder="1" applyAlignment="1">
      <alignment horizontal="center"/>
    </xf>
    <xf numFmtId="0" fontId="32" fillId="6" borderId="10" xfId="0" applyFont="1" applyFill="1" applyBorder="1" applyAlignment="1">
      <alignment horizontal="centerContinuous"/>
    </xf>
    <xf numFmtId="0" fontId="16" fillId="6" borderId="11" xfId="0" applyFont="1" applyFill="1" applyBorder="1" applyAlignment="1">
      <alignment horizontal="centerContinuous"/>
    </xf>
    <xf numFmtId="0" fontId="7" fillId="6" borderId="11" xfId="0" applyFont="1" applyFill="1" applyBorder="1" applyAlignment="1">
      <alignment horizontal="centerContinuous"/>
    </xf>
    <xf numFmtId="0" fontId="22" fillId="6" borderId="12" xfId="0" applyFont="1" applyFill="1" applyBorder="1" applyAlignment="1">
      <alignment horizontal="left"/>
    </xf>
    <xf numFmtId="0" fontId="15" fillId="6" borderId="12" xfId="0" applyFont="1" applyFill="1" applyBorder="1" applyAlignment="1">
      <alignment horizontal="centerContinuous"/>
    </xf>
    <xf numFmtId="0" fontId="22" fillId="6" borderId="12" xfId="0" applyNumberFormat="1" applyFont="1" applyFill="1" applyBorder="1" applyAlignment="1">
      <alignment horizontal="right"/>
    </xf>
    <xf numFmtId="11" fontId="12" fillId="6" borderId="12" xfId="0" applyNumberFormat="1" applyFont="1" applyFill="1" applyBorder="1" applyAlignment="1">
      <alignment horizontal="center"/>
    </xf>
    <xf numFmtId="186" fontId="12" fillId="6" borderId="13" xfId="0" applyNumberFormat="1" applyFont="1" applyFill="1" applyBorder="1" applyAlignment="1">
      <alignment horizontal="left"/>
    </xf>
    <xf numFmtId="0" fontId="34" fillId="6" borderId="14" xfId="0" applyFont="1" applyFill="1" applyBorder="1" applyAlignment="1">
      <alignment horizontal="left"/>
    </xf>
    <xf numFmtId="0" fontId="35" fillId="0" borderId="2" xfId="0" applyFont="1" applyFill="1" applyBorder="1" applyAlignment="1">
      <alignment horizontal="right"/>
    </xf>
    <xf numFmtId="0" fontId="36" fillId="0" borderId="4" xfId="0" applyFont="1" applyFill="1" applyBorder="1" applyAlignment="1">
      <alignment horizontal="left"/>
    </xf>
    <xf numFmtId="0" fontId="37" fillId="0" borderId="2" xfId="0" applyFont="1" applyFill="1" applyBorder="1" applyAlignment="1">
      <alignment horizontal="left"/>
    </xf>
    <xf numFmtId="0" fontId="8" fillId="0" borderId="15" xfId="0" applyFont="1" applyFill="1" applyBorder="1" applyAlignment="1">
      <alignment horizontal="left"/>
    </xf>
    <xf numFmtId="0" fontId="8" fillId="0" borderId="16" xfId="0" applyFont="1" applyFill="1" applyBorder="1" applyAlignment="1">
      <alignment horizontal="left"/>
    </xf>
    <xf numFmtId="0" fontId="38" fillId="6" borderId="17" xfId="0" applyFont="1" applyFill="1" applyBorder="1" applyAlignment="1" applyProtection="1">
      <alignment horizontal="right"/>
      <protection locked="0"/>
    </xf>
    <xf numFmtId="0" fontId="4" fillId="7" borderId="9" xfId="0" applyFont="1" applyFill="1" applyBorder="1" applyAlignment="1">
      <alignment horizontal="left"/>
    </xf>
    <xf numFmtId="0" fontId="4" fillId="7" borderId="0" xfId="0" applyFont="1" applyFill="1" applyBorder="1"/>
    <xf numFmtId="0" fontId="7" fillId="7" borderId="0" xfId="0" applyFont="1" applyFill="1" applyBorder="1"/>
    <xf numFmtId="0" fontId="14" fillId="7" borderId="0" xfId="0" applyFont="1" applyFill="1" applyBorder="1" applyAlignment="1"/>
    <xf numFmtId="0" fontId="7" fillId="7" borderId="0" xfId="0" applyFont="1" applyFill="1" applyBorder="1" applyAlignment="1">
      <alignment horizontal="left"/>
    </xf>
    <xf numFmtId="0" fontId="14" fillId="7" borderId="0" xfId="0" applyFont="1" applyFill="1" applyBorder="1" applyAlignment="1">
      <alignment horizontal="center"/>
    </xf>
    <xf numFmtId="0" fontId="14" fillId="7" borderId="1" xfId="0" applyFont="1" applyFill="1" applyBorder="1" applyAlignment="1">
      <alignment horizontal="right"/>
    </xf>
    <xf numFmtId="0" fontId="4" fillId="6" borderId="9" xfId="0" applyFont="1" applyFill="1" applyBorder="1" applyAlignment="1">
      <alignment horizontal="left"/>
    </xf>
    <xf numFmtId="0" fontId="8" fillId="6" borderId="0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center"/>
    </xf>
    <xf numFmtId="168" fontId="7" fillId="6" borderId="0" xfId="0" applyNumberFormat="1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left"/>
    </xf>
    <xf numFmtId="0" fontId="4" fillId="5" borderId="0" xfId="0" applyFont="1" applyFill="1" applyBorder="1" applyAlignment="1">
      <alignment horizontal="centerContinuous"/>
    </xf>
    <xf numFmtId="0" fontId="33" fillId="5" borderId="0" xfId="0" applyFont="1" applyFill="1" applyBorder="1" applyAlignment="1">
      <alignment horizontal="right"/>
    </xf>
    <xf numFmtId="3" fontId="33" fillId="5" borderId="0" xfId="0" applyNumberFormat="1" applyFont="1" applyFill="1" applyBorder="1" applyAlignment="1">
      <alignment horizontal="center"/>
    </xf>
    <xf numFmtId="11" fontId="23" fillId="5" borderId="0" xfId="0" applyNumberFormat="1" applyFont="1" applyFill="1" applyBorder="1" applyAlignment="1">
      <alignment horizontal="center"/>
    </xf>
    <xf numFmtId="0" fontId="9" fillId="5" borderId="0" xfId="0" applyFont="1" applyFill="1"/>
    <xf numFmtId="0" fontId="22" fillId="5" borderId="18" xfId="0" applyFont="1" applyFill="1" applyBorder="1" applyAlignment="1">
      <alignment horizontal="centerContinuous"/>
    </xf>
    <xf numFmtId="0" fontId="9" fillId="5" borderId="18" xfId="0" applyFont="1" applyFill="1" applyBorder="1" applyAlignment="1">
      <alignment horizontal="centerContinuous"/>
    </xf>
    <xf numFmtId="0" fontId="9" fillId="5" borderId="1" xfId="0" applyFont="1" applyFill="1" applyBorder="1"/>
    <xf numFmtId="0" fontId="16" fillId="5" borderId="0" xfId="0" applyFont="1" applyFill="1"/>
    <xf numFmtId="0" fontId="15" fillId="5" borderId="0" xfId="0" applyFont="1" applyFill="1" applyBorder="1" applyAlignment="1">
      <alignment horizontal="right"/>
    </xf>
    <xf numFmtId="0" fontId="22" fillId="5" borderId="0" xfId="0" applyFont="1" applyFill="1" applyBorder="1" applyAlignment="1">
      <alignment horizontal="right"/>
    </xf>
    <xf numFmtId="1" fontId="7" fillId="5" borderId="0" xfId="0" applyNumberFormat="1" applyFont="1" applyFill="1" applyBorder="1" applyAlignment="1">
      <alignment horizontal="center"/>
    </xf>
    <xf numFmtId="0" fontId="24" fillId="3" borderId="0" xfId="0" applyNumberFormat="1" applyFont="1" applyFill="1" applyBorder="1" applyAlignment="1">
      <alignment horizontal="center"/>
    </xf>
    <xf numFmtId="0" fontId="5" fillId="5" borderId="0" xfId="0" applyFont="1" applyFill="1" applyBorder="1" applyAlignment="1">
      <alignment horizontal="right"/>
    </xf>
    <xf numFmtId="0" fontId="16" fillId="5" borderId="1" xfId="0" applyFont="1" applyFill="1" applyBorder="1"/>
    <xf numFmtId="0" fontId="15" fillId="5" borderId="0" xfId="0" applyFont="1" applyFill="1" applyBorder="1" applyAlignment="1">
      <alignment horizontal="left"/>
    </xf>
    <xf numFmtId="0" fontId="16" fillId="5" borderId="0" xfId="0" applyFont="1" applyFill="1" applyBorder="1"/>
    <xf numFmtId="171" fontId="25" fillId="5" borderId="0" xfId="0" applyNumberFormat="1" applyFont="1" applyFill="1" applyAlignment="1">
      <alignment horizontal="center"/>
    </xf>
    <xf numFmtId="0" fontId="27" fillId="5" borderId="0" xfId="0" applyFont="1" applyFill="1" applyBorder="1" applyAlignment="1">
      <alignment horizontal="right"/>
    </xf>
    <xf numFmtId="184" fontId="28" fillId="5" borderId="0" xfId="0" applyNumberFormat="1" applyFont="1" applyFill="1" applyBorder="1" applyAlignment="1">
      <alignment horizontal="center"/>
    </xf>
    <xf numFmtId="0" fontId="7" fillId="5" borderId="19" xfId="0" applyFont="1" applyFill="1" applyBorder="1" applyAlignment="1">
      <alignment horizontal="right"/>
    </xf>
    <xf numFmtId="0" fontId="7" fillId="5" borderId="1" xfId="0" applyFont="1" applyFill="1" applyBorder="1" applyAlignment="1" applyProtection="1">
      <alignment horizontal="right"/>
      <protection locked="0"/>
    </xf>
    <xf numFmtId="0" fontId="4" fillId="5" borderId="9" xfId="0" applyFont="1" applyFill="1" applyBorder="1" applyAlignment="1">
      <alignment horizontal="left"/>
    </xf>
    <xf numFmtId="0" fontId="16" fillId="5" borderId="9" xfId="0" applyFont="1" applyFill="1" applyBorder="1"/>
    <xf numFmtId="0" fontId="19" fillId="0" borderId="0" xfId="0" applyFont="1" applyFill="1" applyBorder="1" applyAlignment="1">
      <alignment horizontal="center"/>
    </xf>
    <xf numFmtId="0" fontId="39" fillId="0" borderId="9" xfId="0" applyFont="1" applyFill="1" applyBorder="1"/>
    <xf numFmtId="0" fontId="40" fillId="0" borderId="0" xfId="0" applyNumberFormat="1" applyFont="1" applyFill="1" applyBorder="1" applyAlignment="1">
      <alignment horizontal="right"/>
    </xf>
    <xf numFmtId="11" fontId="42" fillId="0" borderId="0" xfId="0" applyNumberFormat="1" applyFont="1" applyFill="1" applyBorder="1" applyAlignment="1">
      <alignment horizontal="right"/>
    </xf>
    <xf numFmtId="194" fontId="44" fillId="0" borderId="0" xfId="0" applyNumberFormat="1" applyFont="1" applyFill="1" applyBorder="1" applyAlignment="1">
      <alignment horizontal="left"/>
    </xf>
    <xf numFmtId="167" fontId="39" fillId="0" borderId="0" xfId="0" applyNumberFormat="1" applyFont="1" applyFill="1" applyBorder="1"/>
    <xf numFmtId="0" fontId="45" fillId="0" borderId="0" xfId="0" applyFont="1" applyFill="1" applyBorder="1" applyAlignment="1">
      <alignment horizontal="right"/>
    </xf>
    <xf numFmtId="0" fontId="46" fillId="0" borderId="20" xfId="0" applyFont="1" applyFill="1" applyBorder="1" applyAlignment="1">
      <alignment horizontal="left"/>
    </xf>
    <xf numFmtId="0" fontId="47" fillId="0" borderId="0" xfId="0" applyFont="1" applyFill="1" applyBorder="1" applyAlignment="1">
      <alignment horizontal="centerContinuous"/>
    </xf>
    <xf numFmtId="0" fontId="48" fillId="0" borderId="0" xfId="0" applyFont="1" applyFill="1" applyBorder="1" applyAlignment="1">
      <alignment horizontal="centerContinuous"/>
    </xf>
    <xf numFmtId="0" fontId="39" fillId="0" borderId="1" xfId="0" applyFont="1" applyFill="1" applyBorder="1" applyAlignment="1">
      <alignment horizontal="centerContinuous"/>
    </xf>
    <xf numFmtId="0" fontId="46" fillId="0" borderId="9" xfId="0" applyFont="1" applyFill="1" applyBorder="1" applyAlignment="1">
      <alignment horizontal="left"/>
    </xf>
    <xf numFmtId="0" fontId="39" fillId="0" borderId="0" xfId="0" applyFont="1" applyFill="1"/>
    <xf numFmtId="0" fontId="40" fillId="0" borderId="0" xfId="0" applyFont="1" applyFill="1" applyAlignment="1">
      <alignment horizontal="right"/>
    </xf>
    <xf numFmtId="164" fontId="49" fillId="0" borderId="0" xfId="0" applyNumberFormat="1" applyFont="1" applyFill="1" applyAlignment="1">
      <alignment horizontal="right"/>
    </xf>
    <xf numFmtId="187" fontId="45" fillId="0" borderId="0" xfId="0" applyNumberFormat="1" applyFont="1" applyFill="1" applyBorder="1" applyAlignment="1">
      <alignment horizontal="left"/>
    </xf>
    <xf numFmtId="168" fontId="50" fillId="0" borderId="0" xfId="0" applyNumberFormat="1" applyFont="1" applyFill="1" applyBorder="1" applyAlignment="1">
      <alignment horizontal="center"/>
    </xf>
    <xf numFmtId="0" fontId="45" fillId="0" borderId="20" xfId="0" applyFont="1" applyFill="1" applyBorder="1" applyAlignment="1">
      <alignment horizontal="right"/>
    </xf>
    <xf numFmtId="166" fontId="49" fillId="0" borderId="0" xfId="0" applyNumberFormat="1" applyFont="1" applyFill="1" applyBorder="1"/>
    <xf numFmtId="174" fontId="45" fillId="0" borderId="0" xfId="0" applyNumberFormat="1" applyFont="1" applyFill="1" applyBorder="1" applyAlignment="1">
      <alignment horizontal="left"/>
    </xf>
    <xf numFmtId="0" fontId="46" fillId="0" borderId="1" xfId="0" applyFont="1" applyFill="1" applyBorder="1" applyAlignment="1">
      <alignment horizontal="left"/>
    </xf>
    <xf numFmtId="168" fontId="49" fillId="0" borderId="0" xfId="0" applyNumberFormat="1" applyFont="1" applyFill="1" applyAlignment="1">
      <alignment horizontal="center"/>
    </xf>
    <xf numFmtId="11" fontId="51" fillId="0" borderId="0" xfId="0" applyNumberFormat="1" applyFont="1" applyFill="1" applyBorder="1" applyAlignment="1">
      <alignment horizontal="center"/>
    </xf>
    <xf numFmtId="168" fontId="49" fillId="0" borderId="0" xfId="0" applyNumberFormat="1" applyFont="1" applyFill="1" applyBorder="1"/>
    <xf numFmtId="182" fontId="45" fillId="0" borderId="0" xfId="0" applyNumberFormat="1" applyFont="1" applyFill="1" applyBorder="1" applyAlignment="1">
      <alignment horizontal="left"/>
    </xf>
    <xf numFmtId="0" fontId="52" fillId="0" borderId="0" xfId="0" applyFont="1" applyFill="1" applyBorder="1" applyAlignment="1">
      <alignment horizontal="right"/>
    </xf>
    <xf numFmtId="0" fontId="40" fillId="0" borderId="0" xfId="0" applyFont="1" applyFill="1" applyBorder="1" applyAlignment="1">
      <alignment horizontal="right"/>
    </xf>
    <xf numFmtId="168" fontId="45" fillId="0" borderId="0" xfId="0" applyNumberFormat="1" applyFont="1" applyFill="1" applyBorder="1" applyAlignment="1">
      <alignment horizontal="center"/>
    </xf>
    <xf numFmtId="0" fontId="52" fillId="0" borderId="0" xfId="0" applyFont="1" applyFill="1" applyBorder="1" applyAlignment="1">
      <alignment horizontal="left"/>
    </xf>
    <xf numFmtId="0" fontId="39" fillId="0" borderId="0" xfId="0" applyFont="1" applyFill="1" applyBorder="1"/>
    <xf numFmtId="0" fontId="40" fillId="0" borderId="9" xfId="0" applyFont="1" applyFill="1" applyBorder="1" applyAlignment="1">
      <alignment horizontal="centerContinuous"/>
    </xf>
    <xf numFmtId="0" fontId="53" fillId="0" borderId="20" xfId="0" applyFont="1" applyFill="1" applyBorder="1" applyAlignment="1">
      <alignment horizontal="right"/>
    </xf>
    <xf numFmtId="181" fontId="49" fillId="0" borderId="0" xfId="1" applyNumberFormat="1" applyFont="1" applyFill="1" applyBorder="1"/>
    <xf numFmtId="190" fontId="49" fillId="0" borderId="1" xfId="0" applyNumberFormat="1" applyFont="1" applyFill="1" applyBorder="1" applyAlignment="1">
      <alignment horizontal="left"/>
    </xf>
    <xf numFmtId="0" fontId="54" fillId="0" borderId="0" xfId="0" applyFont="1" applyFill="1" applyBorder="1" applyAlignment="1">
      <alignment horizontal="right"/>
    </xf>
    <xf numFmtId="0" fontId="41" fillId="0" borderId="1" xfId="0" applyFont="1" applyFill="1" applyBorder="1"/>
    <xf numFmtId="195" fontId="55" fillId="0" borderId="0" xfId="0" applyNumberFormat="1" applyFont="1" applyFill="1" applyBorder="1" applyAlignment="1">
      <alignment horizontal="left"/>
    </xf>
    <xf numFmtId="0" fontId="46" fillId="0" borderId="20" xfId="0" applyFont="1" applyFill="1" applyBorder="1" applyAlignment="1">
      <alignment horizontal="right"/>
    </xf>
    <xf numFmtId="0" fontId="47" fillId="0" borderId="9" xfId="0" applyFont="1" applyFill="1" applyBorder="1" applyAlignment="1">
      <alignment horizontal="right"/>
    </xf>
    <xf numFmtId="3" fontId="49" fillId="0" borderId="0" xfId="1" applyNumberFormat="1" applyFont="1" applyFill="1" applyBorder="1"/>
    <xf numFmtId="191" fontId="45" fillId="0" borderId="0" xfId="0" applyNumberFormat="1" applyFont="1" applyFill="1" applyBorder="1" applyAlignment="1">
      <alignment horizontal="center"/>
    </xf>
    <xf numFmtId="178" fontId="45" fillId="0" borderId="1" xfId="0" applyNumberFormat="1" applyFont="1" applyFill="1" applyBorder="1" applyAlignment="1">
      <alignment horizontal="left"/>
    </xf>
    <xf numFmtId="0" fontId="56" fillId="3" borderId="21" xfId="0" applyFont="1" applyFill="1" applyBorder="1" applyAlignment="1">
      <alignment horizontal="right"/>
    </xf>
    <xf numFmtId="0" fontId="45" fillId="3" borderId="22" xfId="0" applyFont="1" applyFill="1" applyBorder="1" applyAlignment="1">
      <alignment horizontal="center"/>
    </xf>
    <xf numFmtId="0" fontId="45" fillId="3" borderId="23" xfId="0" applyFont="1" applyFill="1" applyBorder="1" applyAlignment="1">
      <alignment horizontal="center"/>
    </xf>
    <xf numFmtId="168" fontId="49" fillId="0" borderId="0" xfId="0" applyNumberFormat="1" applyFont="1" applyFill="1" applyBorder="1" applyAlignment="1">
      <alignment horizontal="center"/>
    </xf>
    <xf numFmtId="0" fontId="56" fillId="0" borderId="9" xfId="0" applyNumberFormat="1" applyFont="1" applyFill="1" applyBorder="1" applyAlignment="1">
      <alignment horizontal="right"/>
    </xf>
    <xf numFmtId="1" fontId="57" fillId="0" borderId="0" xfId="0" applyNumberFormat="1" applyFont="1" applyFill="1" applyBorder="1" applyAlignment="1">
      <alignment horizontal="right"/>
    </xf>
    <xf numFmtId="0" fontId="39" fillId="0" borderId="16" xfId="0" applyFont="1" applyFill="1" applyBorder="1"/>
    <xf numFmtId="0" fontId="39" fillId="0" borderId="4" xfId="0" applyFont="1" applyFill="1" applyBorder="1"/>
    <xf numFmtId="0" fontId="40" fillId="0" borderId="4" xfId="0" applyFont="1" applyFill="1" applyBorder="1" applyAlignment="1">
      <alignment horizontal="right"/>
    </xf>
    <xf numFmtId="0" fontId="45" fillId="3" borderId="4" xfId="0" applyFont="1" applyFill="1" applyBorder="1" applyAlignment="1">
      <alignment horizontal="center"/>
    </xf>
    <xf numFmtId="183" fontId="58" fillId="0" borderId="16" xfId="0" applyNumberFormat="1" applyFont="1" applyFill="1" applyBorder="1" applyAlignment="1">
      <alignment horizontal="right"/>
    </xf>
    <xf numFmtId="168" fontId="57" fillId="0" borderId="4" xfId="0" applyNumberFormat="1" applyFont="1" applyFill="1" applyBorder="1" applyAlignment="1">
      <alignment horizontal="right"/>
    </xf>
    <xf numFmtId="189" fontId="57" fillId="0" borderId="4" xfId="0" applyNumberFormat="1" applyFont="1" applyFill="1" applyBorder="1" applyAlignment="1">
      <alignment horizontal="center"/>
    </xf>
    <xf numFmtId="188" fontId="57" fillId="0" borderId="5" xfId="0" applyNumberFormat="1" applyFont="1" applyFill="1" applyBorder="1" applyAlignment="1">
      <alignment horizontal="left"/>
    </xf>
    <xf numFmtId="196" fontId="45" fillId="0" borderId="0" xfId="0" applyNumberFormat="1" applyFont="1" applyFill="1" applyBorder="1" applyAlignment="1">
      <alignment horizontal="left"/>
    </xf>
    <xf numFmtId="165" fontId="49" fillId="0" borderId="0" xfId="0" applyNumberFormat="1" applyFont="1" applyFill="1" applyBorder="1" applyAlignment="1">
      <alignment horizontal="right"/>
    </xf>
    <xf numFmtId="0" fontId="60" fillId="0" borderId="4" xfId="0" applyFont="1" applyFill="1" applyBorder="1" applyAlignment="1">
      <alignment horizontal="centerContinuous"/>
    </xf>
    <xf numFmtId="0" fontId="60" fillId="0" borderId="4" xfId="0" applyFont="1" applyFill="1" applyBorder="1" applyAlignment="1">
      <alignment horizontal="left"/>
    </xf>
    <xf numFmtId="0" fontId="6" fillId="0" borderId="4" xfId="0" applyFont="1" applyFill="1" applyBorder="1" applyAlignment="1"/>
    <xf numFmtId="1" fontId="26" fillId="0" borderId="0" xfId="0" applyNumberFormat="1" applyFont="1" applyBorder="1" applyAlignment="1">
      <alignment horizontal="center"/>
    </xf>
    <xf numFmtId="1" fontId="16" fillId="0" borderId="0" xfId="0" applyNumberFormat="1" applyFont="1" applyBorder="1" applyAlignment="1">
      <alignment horizontal="center"/>
    </xf>
    <xf numFmtId="165" fontId="16" fillId="0" borderId="0" xfId="0" applyNumberFormat="1" applyFont="1" applyBorder="1" applyAlignment="1">
      <alignment horizontal="center"/>
    </xf>
    <xf numFmtId="2" fontId="16" fillId="0" borderId="0" xfId="0" applyNumberFormat="1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164" fontId="16" fillId="0" borderId="0" xfId="0" applyNumberFormat="1" applyFont="1" applyBorder="1" applyAlignment="1">
      <alignment horizontal="center"/>
    </xf>
    <xf numFmtId="164" fontId="26" fillId="0" borderId="0" xfId="0" applyNumberFormat="1" applyFont="1" applyBorder="1" applyAlignment="1">
      <alignment horizontal="center"/>
    </xf>
    <xf numFmtId="0" fontId="64" fillId="0" borderId="18" xfId="0" applyFont="1" applyBorder="1" applyAlignment="1">
      <alignment horizontal="center" vertical="top" wrapText="1"/>
    </xf>
    <xf numFmtId="0" fontId="64" fillId="0" borderId="22" xfId="0" applyFont="1" applyBorder="1" applyAlignment="1">
      <alignment horizontal="center" vertical="top" wrapText="1"/>
    </xf>
    <xf numFmtId="0" fontId="68" fillId="0" borderId="0" xfId="0" applyFont="1" applyAlignment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168" fontId="16" fillId="0" borderId="0" xfId="0" applyNumberFormat="1" applyFont="1"/>
    <xf numFmtId="197" fontId="16" fillId="0" borderId="0" xfId="0" applyNumberFormat="1" applyFont="1" applyAlignment="1">
      <alignment horizontal="left"/>
    </xf>
    <xf numFmtId="1" fontId="16" fillId="0" borderId="0" xfId="0" applyNumberFormat="1" applyFont="1"/>
    <xf numFmtId="172" fontId="16" fillId="0" borderId="0" xfId="0" applyNumberFormat="1" applyFont="1" applyAlignment="1">
      <alignment horizontal="left"/>
    </xf>
    <xf numFmtId="196" fontId="16" fillId="0" borderId="0" xfId="0" applyNumberFormat="1" applyFont="1" applyAlignment="1">
      <alignment horizontal="left"/>
    </xf>
    <xf numFmtId="1" fontId="26" fillId="0" borderId="0" xfId="0" applyNumberFormat="1" applyFont="1"/>
    <xf numFmtId="172" fontId="26" fillId="0" borderId="0" xfId="0" applyNumberFormat="1" applyFont="1" applyAlignment="1">
      <alignment horizontal="left"/>
    </xf>
    <xf numFmtId="0" fontId="16" fillId="0" borderId="18" xfId="0" applyFont="1" applyBorder="1" applyAlignment="1">
      <alignment horizontal="center"/>
    </xf>
    <xf numFmtId="168" fontId="16" fillId="0" borderId="18" xfId="0" applyNumberFormat="1" applyFont="1" applyBorder="1"/>
    <xf numFmtId="197" fontId="16" fillId="0" borderId="18" xfId="0" applyNumberFormat="1" applyFont="1" applyBorder="1" applyAlignment="1">
      <alignment horizontal="left"/>
    </xf>
    <xf numFmtId="1" fontId="16" fillId="0" borderId="18" xfId="0" applyNumberFormat="1" applyFont="1" applyBorder="1"/>
    <xf numFmtId="172" fontId="16" fillId="0" borderId="18" xfId="0" applyNumberFormat="1" applyFont="1" applyBorder="1" applyAlignment="1">
      <alignment horizontal="left"/>
    </xf>
    <xf numFmtId="0" fontId="16" fillId="0" borderId="18" xfId="0" applyFont="1" applyBorder="1"/>
    <xf numFmtId="196" fontId="16" fillId="0" borderId="18" xfId="0" applyNumberFormat="1" applyFont="1" applyBorder="1" applyAlignment="1">
      <alignment horizontal="left"/>
    </xf>
    <xf numFmtId="1" fontId="26" fillId="0" borderId="18" xfId="0" applyNumberFormat="1" applyFont="1" applyBorder="1"/>
    <xf numFmtId="172" fontId="26" fillId="0" borderId="18" xfId="0" applyNumberFormat="1" applyFont="1" applyBorder="1" applyAlignment="1">
      <alignment horizontal="left"/>
    </xf>
    <xf numFmtId="0" fontId="71" fillId="0" borderId="0" xfId="0" applyFont="1"/>
    <xf numFmtId="0" fontId="71" fillId="0" borderId="0" xfId="0" applyFont="1" applyAlignment="1"/>
    <xf numFmtId="0" fontId="7" fillId="3" borderId="22" xfId="3" applyFont="1" applyFill="1" applyBorder="1" applyAlignment="1">
      <alignment horizontal="center"/>
    </xf>
    <xf numFmtId="0" fontId="16" fillId="0" borderId="22" xfId="3" applyFont="1" applyBorder="1"/>
    <xf numFmtId="0" fontId="16" fillId="3" borderId="22" xfId="3" applyFont="1" applyFill="1" applyBorder="1"/>
    <xf numFmtId="180" fontId="28" fillId="3" borderId="22" xfId="3" applyNumberFormat="1" applyFont="1" applyFill="1" applyBorder="1" applyAlignment="1">
      <alignment horizontal="right"/>
    </xf>
    <xf numFmtId="0" fontId="7" fillId="0" borderId="22" xfId="3" applyFont="1" applyFill="1" applyBorder="1" applyAlignment="1">
      <alignment horizontal="center"/>
    </xf>
    <xf numFmtId="0" fontId="7" fillId="3" borderId="22" xfId="3" applyFont="1" applyFill="1" applyBorder="1" applyAlignment="1">
      <alignment horizontal="right"/>
    </xf>
    <xf numFmtId="168" fontId="0" fillId="0" borderId="0" xfId="0" applyNumberFormat="1" applyAlignment="1"/>
    <xf numFmtId="1" fontId="0" fillId="0" borderId="0" xfId="0" applyNumberFormat="1" applyAlignment="1"/>
    <xf numFmtId="182" fontId="0" fillId="0" borderId="0" xfId="0" applyNumberFormat="1" applyAlignment="1"/>
    <xf numFmtId="165" fontId="0" fillId="0" borderId="0" xfId="0" applyNumberFormat="1" applyAlignment="1"/>
    <xf numFmtId="196" fontId="0" fillId="0" borderId="0" xfId="0" applyNumberFormat="1" applyAlignment="1"/>
    <xf numFmtId="3" fontId="0" fillId="0" borderId="0" xfId="0" applyNumberFormat="1" applyAlignment="1"/>
    <xf numFmtId="168" fontId="0" fillId="0" borderId="0" xfId="0" applyNumberFormat="1" applyAlignment="1">
      <alignment horizontal="center"/>
    </xf>
    <xf numFmtId="0" fontId="0" fillId="0" borderId="18" xfId="0" applyBorder="1"/>
    <xf numFmtId="2" fontId="49" fillId="0" borderId="0" xfId="0" applyNumberFormat="1" applyFont="1" applyFill="1" applyBorder="1"/>
    <xf numFmtId="0" fontId="78" fillId="0" borderId="0" xfId="2" applyFont="1" applyAlignment="1">
      <alignment horizontal="center"/>
    </xf>
    <xf numFmtId="0" fontId="87" fillId="0" borderId="0" xfId="0" applyFont="1"/>
    <xf numFmtId="1" fontId="88" fillId="0" borderId="18" xfId="0" applyNumberFormat="1" applyFont="1" applyBorder="1"/>
    <xf numFmtId="172" fontId="88" fillId="0" borderId="18" xfId="0" applyNumberFormat="1" applyFont="1" applyBorder="1" applyAlignment="1">
      <alignment horizontal="left"/>
    </xf>
    <xf numFmtId="0" fontId="91" fillId="0" borderId="0" xfId="0" applyFont="1"/>
    <xf numFmtId="0" fontId="92" fillId="0" borderId="0" xfId="0" applyFont="1"/>
    <xf numFmtId="0" fontId="93" fillId="0" borderId="0" xfId="0" applyFont="1"/>
    <xf numFmtId="10" fontId="92" fillId="0" borderId="0" xfId="0" applyNumberFormat="1" applyFont="1"/>
    <xf numFmtId="2" fontId="45" fillId="0" borderId="0" xfId="0" applyNumberFormat="1" applyFont="1" applyFill="1" applyBorder="1" applyAlignment="1">
      <alignment horizontal="left"/>
    </xf>
    <xf numFmtId="168" fontId="45" fillId="0" borderId="0" xfId="0" applyNumberFormat="1" applyFont="1" applyFill="1" applyBorder="1" applyAlignment="1">
      <alignment horizontal="left"/>
    </xf>
    <xf numFmtId="177" fontId="57" fillId="0" borderId="0" xfId="0" applyNumberFormat="1" applyFont="1" applyFill="1" applyBorder="1" applyAlignment="1">
      <alignment horizontal="center"/>
    </xf>
    <xf numFmtId="178" fontId="57" fillId="0" borderId="1" xfId="0" applyNumberFormat="1" applyFont="1" applyFill="1" applyBorder="1" applyAlignment="1">
      <alignment horizontal="left"/>
    </xf>
    <xf numFmtId="0" fontId="61" fillId="0" borderId="24" xfId="0" applyFont="1" applyBorder="1" applyAlignment="1">
      <alignment horizontal="center"/>
    </xf>
    <xf numFmtId="0" fontId="61" fillId="0" borderId="25" xfId="0" applyFont="1" applyBorder="1" applyAlignment="1">
      <alignment horizontal="center"/>
    </xf>
    <xf numFmtId="0" fontId="62" fillId="0" borderId="25" xfId="0" applyFont="1" applyBorder="1" applyAlignment="1">
      <alignment horizontal="center"/>
    </xf>
    <xf numFmtId="176" fontId="0" fillId="0" borderId="0" xfId="0" applyNumberFormat="1" applyAlignment="1"/>
    <xf numFmtId="181" fontId="0" fillId="0" borderId="0" xfId="0" applyNumberFormat="1" applyAlignment="1"/>
    <xf numFmtId="0" fontId="93" fillId="0" borderId="26" xfId="0" applyFont="1" applyBorder="1"/>
    <xf numFmtId="1" fontId="91" fillId="0" borderId="27" xfId="0" applyNumberFormat="1" applyFont="1" applyBorder="1"/>
    <xf numFmtId="49" fontId="35" fillId="0" borderId="2" xfId="0" applyNumberFormat="1" applyFont="1" applyFill="1" applyBorder="1" applyAlignment="1">
      <alignment horizontal="center"/>
    </xf>
    <xf numFmtId="49" fontId="60" fillId="0" borderId="4" xfId="0" applyNumberFormat="1" applyFont="1" applyFill="1" applyBorder="1" applyAlignment="1">
      <alignment horizontal="center"/>
    </xf>
    <xf numFmtId="0" fontId="16" fillId="0" borderId="0" xfId="0" applyFont="1" applyAlignment="1">
      <alignment horizontal="left"/>
    </xf>
    <xf numFmtId="11" fontId="43" fillId="0" borderId="0" xfId="0" applyNumberFormat="1" applyFont="1" applyFill="1" applyBorder="1" applyAlignment="1">
      <alignment horizontal="center"/>
    </xf>
    <xf numFmtId="0" fontId="91" fillId="0" borderId="0" xfId="0" applyFont="1" applyAlignment="1">
      <alignment horizontal="center"/>
    </xf>
    <xf numFmtId="0" fontId="93" fillId="0" borderId="0" xfId="0" applyFont="1" applyAlignment="1">
      <alignment horizontal="right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96" fillId="0" borderId="0" xfId="0" applyFont="1" applyFill="1" applyBorder="1" applyAlignment="1">
      <alignment horizontal="center"/>
    </xf>
    <xf numFmtId="175" fontId="92" fillId="0" borderId="0" xfId="0" applyNumberFormat="1" applyFont="1" applyFill="1" applyBorder="1" applyAlignment="1">
      <alignment horizontal="center"/>
    </xf>
    <xf numFmtId="166" fontId="79" fillId="0" borderId="0" xfId="2" applyNumberFormat="1" applyFont="1" applyAlignment="1">
      <alignment horizontal="center"/>
    </xf>
    <xf numFmtId="10" fontId="79" fillId="0" borderId="0" xfId="2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6" fillId="0" borderId="0" xfId="0" applyFont="1" applyAlignment="1">
      <alignment horizontal="center"/>
    </xf>
    <xf numFmtId="0" fontId="80" fillId="0" borderId="0" xfId="4" applyFont="1"/>
    <xf numFmtId="0" fontId="83" fillId="0" borderId="0" xfId="4" applyFont="1"/>
    <xf numFmtId="0" fontId="82" fillId="0" borderId="0" xfId="4" applyFont="1" applyAlignment="1">
      <alignment horizontal="center"/>
    </xf>
    <xf numFmtId="0" fontId="82" fillId="0" borderId="0" xfId="4" applyFont="1"/>
    <xf numFmtId="11" fontId="90" fillId="0" borderId="0" xfId="0" applyNumberFormat="1" applyFont="1"/>
    <xf numFmtId="165" fontId="91" fillId="0" borderId="0" xfId="0" applyNumberFormat="1" applyFont="1"/>
    <xf numFmtId="164" fontId="82" fillId="0" borderId="0" xfId="4" applyNumberFormat="1" applyFont="1"/>
    <xf numFmtId="166" fontId="94" fillId="0" borderId="0" xfId="0" applyNumberFormat="1" applyFont="1" applyBorder="1"/>
    <xf numFmtId="164" fontId="94" fillId="0" borderId="0" xfId="0" applyNumberFormat="1" applyFont="1" applyBorder="1"/>
    <xf numFmtId="164" fontId="92" fillId="0" borderId="0" xfId="0" applyNumberFormat="1" applyFont="1"/>
    <xf numFmtId="164" fontId="91" fillId="0" borderId="26" xfId="0" applyNumberFormat="1" applyFont="1" applyBorder="1"/>
    <xf numFmtId="171" fontId="99" fillId="5" borderId="0" xfId="0" applyNumberFormat="1" applyFont="1" applyFill="1" applyBorder="1" applyAlignment="1">
      <alignment horizontal="center"/>
    </xf>
    <xf numFmtId="0" fontId="65" fillId="0" borderId="0" xfId="0" applyFont="1" applyAlignment="1">
      <alignment horizontal="center"/>
    </xf>
    <xf numFmtId="0" fontId="81" fillId="0" borderId="0" xfId="4" applyFont="1"/>
    <xf numFmtId="10" fontId="91" fillId="0" borderId="0" xfId="0" applyNumberFormat="1" applyFont="1" applyAlignment="1">
      <alignment horizontal="center"/>
    </xf>
    <xf numFmtId="198" fontId="92" fillId="0" borderId="0" xfId="0" applyNumberFormat="1" applyFont="1" applyAlignment="1">
      <alignment horizontal="center"/>
    </xf>
    <xf numFmtId="10" fontId="92" fillId="0" borderId="0" xfId="0" applyNumberFormat="1" applyFont="1" applyAlignment="1">
      <alignment horizontal="center"/>
    </xf>
    <xf numFmtId="2" fontId="79" fillId="0" borderId="0" xfId="2" applyNumberFormat="1" applyFont="1" applyAlignment="1">
      <alignment horizontal="center"/>
    </xf>
    <xf numFmtId="167" fontId="79" fillId="0" borderId="0" xfId="2" applyNumberFormat="1" applyFont="1" applyAlignment="1">
      <alignment horizontal="center"/>
    </xf>
    <xf numFmtId="10" fontId="93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79" fillId="0" borderId="0" xfId="2" applyNumberFormat="1" applyFont="1" applyAlignment="1">
      <alignment horizontal="center"/>
    </xf>
    <xf numFmtId="165" fontId="79" fillId="0" borderId="0" xfId="2" applyNumberFormat="1" applyFont="1" applyAlignment="1">
      <alignment horizontal="center"/>
    </xf>
    <xf numFmtId="10" fontId="98" fillId="0" borderId="0" xfId="0" applyNumberFormat="1" applyFont="1" applyAlignment="1">
      <alignment horizontal="center"/>
    </xf>
    <xf numFmtId="164" fontId="93" fillId="0" borderId="0" xfId="0" applyNumberFormat="1" applyFont="1" applyAlignment="1">
      <alignment horizontal="center"/>
    </xf>
    <xf numFmtId="164" fontId="94" fillId="0" borderId="0" xfId="0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0" xfId="0" applyBorder="1" applyAlignment="1">
      <alignment horizontal="center"/>
    </xf>
    <xf numFmtId="200" fontId="92" fillId="0" borderId="0" xfId="0" applyNumberFormat="1" applyFont="1" applyAlignment="1">
      <alignment horizontal="center"/>
    </xf>
    <xf numFmtId="165" fontId="93" fillId="0" borderId="0" xfId="0" applyNumberFormat="1" applyFont="1" applyBorder="1" applyAlignment="1">
      <alignment horizontal="center"/>
    </xf>
    <xf numFmtId="166" fontId="93" fillId="0" borderId="0" xfId="0" applyNumberFormat="1" applyFont="1" applyBorder="1" applyAlignment="1">
      <alignment horizontal="center"/>
    </xf>
    <xf numFmtId="166" fontId="93" fillId="0" borderId="0" xfId="0" applyNumberFormat="1" applyFont="1" applyBorder="1"/>
    <xf numFmtId="166" fontId="93" fillId="0" borderId="0" xfId="0" applyNumberFormat="1" applyFont="1" applyAlignment="1">
      <alignment horizontal="center"/>
    </xf>
    <xf numFmtId="198" fontId="93" fillId="0" borderId="0" xfId="0" applyNumberFormat="1" applyFont="1" applyAlignment="1">
      <alignment horizontal="center"/>
    </xf>
    <xf numFmtId="169" fontId="93" fillId="0" borderId="0" xfId="0" applyNumberFormat="1" applyFont="1" applyAlignment="1">
      <alignment horizontal="center"/>
    </xf>
    <xf numFmtId="169" fontId="91" fillId="0" borderId="31" xfId="0" applyNumberFormat="1" applyFont="1" applyBorder="1" applyAlignment="1">
      <alignment horizontal="center"/>
    </xf>
    <xf numFmtId="4" fontId="45" fillId="0" borderId="0" xfId="0" applyNumberFormat="1" applyFont="1" applyFill="1" applyBorder="1" applyAlignment="1">
      <alignment horizontal="right"/>
    </xf>
    <xf numFmtId="175" fontId="45" fillId="0" borderId="0" xfId="0" applyNumberFormat="1" applyFont="1" applyFill="1" applyBorder="1" applyAlignment="1">
      <alignment horizontal="left"/>
    </xf>
    <xf numFmtId="0" fontId="63" fillId="0" borderId="0" xfId="0" applyFont="1"/>
    <xf numFmtId="165" fontId="90" fillId="0" borderId="0" xfId="0" applyNumberFormat="1" applyFont="1"/>
    <xf numFmtId="164" fontId="90" fillId="0" borderId="0" xfId="0" applyNumberFormat="1" applyFont="1" applyAlignment="1">
      <alignment horizontal="center"/>
    </xf>
    <xf numFmtId="11" fontId="102" fillId="0" borderId="0" xfId="0" applyNumberFormat="1" applyFont="1"/>
    <xf numFmtId="0" fontId="102" fillId="0" borderId="0" xfId="0" applyFont="1"/>
    <xf numFmtId="201" fontId="90" fillId="0" borderId="0" xfId="0" applyNumberFormat="1" applyFont="1" applyAlignment="1">
      <alignment horizontal="center"/>
    </xf>
    <xf numFmtId="166" fontId="16" fillId="0" borderId="0" xfId="0" applyNumberFormat="1" applyFont="1"/>
    <xf numFmtId="199" fontId="16" fillId="0" borderId="0" xfId="0" applyNumberFormat="1" applyFont="1" applyAlignment="1">
      <alignment horizontal="left"/>
    </xf>
    <xf numFmtId="166" fontId="103" fillId="0" borderId="0" xfId="0" applyNumberFormat="1" applyFont="1"/>
    <xf numFmtId="166" fontId="91" fillId="0" borderId="28" xfId="0" applyNumberFormat="1" applyFont="1" applyBorder="1"/>
    <xf numFmtId="166" fontId="91" fillId="0" borderId="29" xfId="0" applyNumberFormat="1" applyFont="1" applyBorder="1" applyAlignment="1">
      <alignment horizontal="center"/>
    </xf>
    <xf numFmtId="0" fontId="105" fillId="0" borderId="0" xfId="0" applyFont="1"/>
    <xf numFmtId="166" fontId="92" fillId="0" borderId="0" xfId="0" applyNumberFormat="1" applyFont="1"/>
    <xf numFmtId="0" fontId="25" fillId="0" borderId="0" xfId="0" applyFont="1" applyAlignment="1"/>
    <xf numFmtId="164" fontId="82" fillId="0" borderId="0" xfId="4" applyNumberFormat="1" applyFont="1" applyAlignment="1">
      <alignment horizontal="center"/>
    </xf>
    <xf numFmtId="0" fontId="2" fillId="0" borderId="0" xfId="2"/>
    <xf numFmtId="0" fontId="78" fillId="0" borderId="0" xfId="2" applyFont="1" applyAlignment="1"/>
    <xf numFmtId="0" fontId="79" fillId="0" borderId="0" xfId="2" applyFont="1" applyAlignment="1"/>
    <xf numFmtId="0" fontId="114" fillId="0" borderId="0" xfId="2" applyFont="1" applyAlignment="1"/>
    <xf numFmtId="0" fontId="80" fillId="0" borderId="0" xfId="2" applyFont="1"/>
    <xf numFmtId="1" fontId="80" fillId="0" borderId="0" xfId="2" applyNumberFormat="1" applyFont="1"/>
    <xf numFmtId="0" fontId="115" fillId="0" borderId="0" xfId="2" applyFont="1"/>
    <xf numFmtId="0" fontId="116" fillId="0" borderId="0" xfId="2" applyFont="1"/>
    <xf numFmtId="1" fontId="2" fillId="0" borderId="0" xfId="2" applyNumberFormat="1"/>
    <xf numFmtId="165" fontId="117" fillId="0" borderId="0" xfId="2" applyNumberFormat="1" applyFont="1"/>
    <xf numFmtId="1" fontId="2" fillId="0" borderId="0" xfId="2" applyNumberFormat="1" applyAlignment="1"/>
    <xf numFmtId="165" fontId="2" fillId="0" borderId="0" xfId="0" applyNumberFormat="1" applyFont="1" applyAlignment="1"/>
    <xf numFmtId="165" fontId="2" fillId="0" borderId="0" xfId="2" applyNumberFormat="1" applyAlignment="1"/>
    <xf numFmtId="164" fontId="2" fillId="0" borderId="0" xfId="2" applyNumberFormat="1" applyAlignment="1"/>
    <xf numFmtId="165" fontId="2" fillId="0" borderId="0" xfId="0" applyNumberFormat="1" applyFont="1"/>
    <xf numFmtId="164" fontId="118" fillId="0" borderId="0" xfId="2" applyNumberFormat="1" applyFont="1"/>
    <xf numFmtId="10" fontId="78" fillId="0" borderId="0" xfId="2" applyNumberFormat="1" applyFont="1" applyAlignment="1">
      <alignment horizontal="center"/>
    </xf>
    <xf numFmtId="198" fontId="119" fillId="0" borderId="0" xfId="2" applyNumberFormat="1" applyFont="1"/>
    <xf numFmtId="0" fontId="78" fillId="0" borderId="0" xfId="2" applyFont="1"/>
    <xf numFmtId="0" fontId="80" fillId="0" borderId="0" xfId="2" applyFont="1" applyAlignment="1">
      <alignment horizontal="right"/>
    </xf>
    <xf numFmtId="10" fontId="115" fillId="0" borderId="0" xfId="2" applyNumberFormat="1" applyFont="1"/>
    <xf numFmtId="0" fontId="120" fillId="0" borderId="0" xfId="0" applyFont="1"/>
    <xf numFmtId="166" fontId="120" fillId="0" borderId="0" xfId="0" applyNumberFormat="1" applyFont="1" applyBorder="1" applyAlignment="1">
      <alignment horizontal="center"/>
    </xf>
    <xf numFmtId="10" fontId="120" fillId="0" borderId="0" xfId="0" applyNumberFormat="1" applyFont="1" applyAlignment="1">
      <alignment horizontal="center"/>
    </xf>
    <xf numFmtId="164" fontId="81" fillId="0" borderId="0" xfId="0" applyNumberFormat="1" applyFont="1"/>
    <xf numFmtId="164" fontId="115" fillId="0" borderId="0" xfId="0" applyNumberFormat="1" applyFont="1" applyAlignment="1">
      <alignment horizontal="center"/>
    </xf>
    <xf numFmtId="164" fontId="82" fillId="0" borderId="0" xfId="2" applyNumberFormat="1" applyFont="1"/>
    <xf numFmtId="0" fontId="115" fillId="0" borderId="0" xfId="0" applyFont="1" applyAlignment="1">
      <alignment horizontal="center"/>
    </xf>
    <xf numFmtId="0" fontId="0" fillId="0" borderId="0" xfId="0" applyAlignment="1">
      <alignment horizontal="right"/>
    </xf>
    <xf numFmtId="10" fontId="119" fillId="0" borderId="0" xfId="2" applyNumberFormat="1" applyFont="1"/>
    <xf numFmtId="0" fontId="121" fillId="0" borderId="0" xfId="2" applyFont="1" applyAlignment="1">
      <alignment horizontal="center"/>
    </xf>
    <xf numFmtId="164" fontId="115" fillId="0" borderId="0" xfId="2" applyNumberFormat="1" applyFont="1"/>
    <xf numFmtId="10" fontId="115" fillId="0" borderId="0" xfId="2" applyNumberFormat="1" applyFont="1" applyAlignment="1">
      <alignment horizontal="center"/>
    </xf>
    <xf numFmtId="2" fontId="115" fillId="0" borderId="0" xfId="2" applyNumberFormat="1" applyFont="1"/>
    <xf numFmtId="166" fontId="115" fillId="0" borderId="0" xfId="2" applyNumberFormat="1" applyFont="1"/>
    <xf numFmtId="169" fontId="115" fillId="0" borderId="0" xfId="2" applyNumberFormat="1" applyFont="1"/>
    <xf numFmtId="166" fontId="122" fillId="0" borderId="0" xfId="2" applyNumberFormat="1" applyFont="1" applyAlignment="1">
      <alignment horizontal="center"/>
    </xf>
    <xf numFmtId="165" fontId="123" fillId="0" borderId="0" xfId="2" applyNumberFormat="1" applyFont="1"/>
    <xf numFmtId="167" fontId="115" fillId="0" borderId="0" xfId="2" applyNumberFormat="1" applyFont="1"/>
    <xf numFmtId="11" fontId="118" fillId="0" borderId="0" xfId="2" applyNumberFormat="1" applyFont="1"/>
    <xf numFmtId="0" fontId="2" fillId="0" borderId="0" xfId="2" applyAlignment="1">
      <alignment horizontal="center"/>
    </xf>
    <xf numFmtId="0" fontId="2" fillId="0" borderId="0" xfId="2" applyFont="1" applyAlignment="1">
      <alignment horizontal="center"/>
    </xf>
    <xf numFmtId="1" fontId="81" fillId="0" borderId="0" xfId="2" applyNumberFormat="1" applyFont="1"/>
    <xf numFmtId="164" fontId="79" fillId="0" borderId="28" xfId="2" applyNumberFormat="1" applyFont="1" applyBorder="1"/>
    <xf numFmtId="164" fontId="79" fillId="0" borderId="22" xfId="2" applyNumberFormat="1" applyFont="1" applyBorder="1"/>
    <xf numFmtId="0" fontId="79" fillId="0" borderId="22" xfId="2" applyFont="1" applyBorder="1"/>
    <xf numFmtId="0" fontId="79" fillId="0" borderId="29" xfId="2" applyFont="1" applyBorder="1"/>
    <xf numFmtId="2" fontId="79" fillId="0" borderId="27" xfId="2" applyNumberFormat="1" applyFont="1" applyBorder="1"/>
    <xf numFmtId="167" fontId="79" fillId="0" borderId="18" xfId="2" applyNumberFormat="1" applyFont="1" applyBorder="1"/>
    <xf numFmtId="1" fontId="79" fillId="0" borderId="18" xfId="2" applyNumberFormat="1" applyFont="1" applyBorder="1"/>
    <xf numFmtId="1" fontId="79" fillId="0" borderId="30" xfId="2" applyNumberFormat="1" applyFont="1" applyBorder="1"/>
    <xf numFmtId="166" fontId="116" fillId="0" borderId="0" xfId="2" applyNumberFormat="1" applyFont="1"/>
    <xf numFmtId="0" fontId="81" fillId="0" borderId="0" xfId="2" applyFont="1"/>
    <xf numFmtId="10" fontId="82" fillId="0" borderId="0" xfId="2" applyNumberFormat="1" applyFont="1" applyAlignment="1">
      <alignment horizontal="center"/>
    </xf>
    <xf numFmtId="0" fontId="118" fillId="0" borderId="0" xfId="2" applyFont="1"/>
    <xf numFmtId="10" fontId="80" fillId="0" borderId="0" xfId="2" applyNumberFormat="1" applyFont="1" applyAlignment="1">
      <alignment horizontal="center"/>
    </xf>
    <xf numFmtId="198" fontId="80" fillId="0" borderId="0" xfId="2" applyNumberFormat="1" applyFont="1" applyAlignment="1">
      <alignment horizontal="right"/>
    </xf>
    <xf numFmtId="198" fontId="81" fillId="0" borderId="0" xfId="2" applyNumberFormat="1" applyFont="1"/>
    <xf numFmtId="200" fontId="2" fillId="0" borderId="0" xfId="2" applyNumberFormat="1"/>
    <xf numFmtId="0" fontId="115" fillId="0" borderId="0" xfId="2" applyFont="1" applyAlignment="1">
      <alignment horizontal="right"/>
    </xf>
    <xf numFmtId="10" fontId="118" fillId="0" borderId="0" xfId="2" applyNumberFormat="1" applyFont="1"/>
    <xf numFmtId="200" fontId="80" fillId="0" borderId="0" xfId="0" applyNumberFormat="1" applyFont="1" applyAlignment="1">
      <alignment horizontal="center"/>
    </xf>
    <xf numFmtId="171" fontId="82" fillId="0" borderId="0" xfId="2" applyNumberFormat="1" applyFont="1"/>
    <xf numFmtId="11" fontId="124" fillId="0" borderId="0" xfId="2" applyNumberFormat="1" applyFont="1"/>
    <xf numFmtId="164" fontId="81" fillId="0" borderId="0" xfId="2" applyNumberFormat="1" applyFont="1"/>
    <xf numFmtId="10" fontId="81" fillId="0" borderId="0" xfId="2" applyNumberFormat="1" applyFont="1"/>
    <xf numFmtId="10" fontId="116" fillId="0" borderId="0" xfId="2" applyNumberFormat="1" applyFont="1"/>
    <xf numFmtId="0" fontId="115" fillId="0" borderId="0" xfId="0" applyFont="1" applyAlignment="1">
      <alignment horizontal="right"/>
    </xf>
    <xf numFmtId="11" fontId="124" fillId="0" borderId="0" xfId="0" applyNumberFormat="1" applyFont="1"/>
    <xf numFmtId="166" fontId="81" fillId="0" borderId="0" xfId="2" applyNumberFormat="1" applyFont="1"/>
    <xf numFmtId="165" fontId="115" fillId="0" borderId="0" xfId="2" applyNumberFormat="1" applyFont="1"/>
    <xf numFmtId="0" fontId="83" fillId="0" borderId="0" xfId="2" applyFont="1"/>
    <xf numFmtId="0" fontId="82" fillId="0" borderId="0" xfId="2" applyFont="1" applyAlignment="1">
      <alignment horizontal="center"/>
    </xf>
    <xf numFmtId="0" fontId="82" fillId="0" borderId="0" xfId="2" applyFont="1"/>
    <xf numFmtId="0" fontId="82" fillId="0" borderId="0" xfId="2" applyFont="1" applyAlignment="1">
      <alignment horizontal="right"/>
    </xf>
    <xf numFmtId="1" fontId="2" fillId="0" borderId="0" xfId="2" applyNumberFormat="1" applyFont="1"/>
    <xf numFmtId="0" fontId="79" fillId="0" borderId="0" xfId="2" applyFont="1"/>
    <xf numFmtId="166" fontId="2" fillId="0" borderId="0" xfId="2" applyNumberFormat="1" applyAlignment="1"/>
    <xf numFmtId="1" fontId="79" fillId="0" borderId="0" xfId="2" applyNumberFormat="1" applyFont="1"/>
    <xf numFmtId="164" fontId="79" fillId="0" borderId="0" xfId="2" applyNumberFormat="1" applyFont="1"/>
    <xf numFmtId="10" fontId="79" fillId="0" borderId="0" xfId="2" applyNumberFormat="1" applyFont="1"/>
    <xf numFmtId="165" fontId="79" fillId="0" borderId="0" xfId="2" applyNumberFormat="1" applyFont="1"/>
    <xf numFmtId="1" fontId="79" fillId="0" borderId="0" xfId="2" applyNumberFormat="1" applyFont="1" applyAlignment="1"/>
    <xf numFmtId="166" fontId="79" fillId="0" borderId="0" xfId="2" applyNumberFormat="1" applyFont="1" applyAlignment="1"/>
    <xf numFmtId="169" fontId="79" fillId="0" borderId="0" xfId="2" applyNumberFormat="1" applyFont="1"/>
    <xf numFmtId="10" fontId="79" fillId="0" borderId="0" xfId="2" applyNumberFormat="1" applyFont="1" applyAlignment="1"/>
    <xf numFmtId="0" fontId="2" fillId="0" borderId="0" xfId="2" applyAlignment="1"/>
    <xf numFmtId="164" fontId="82" fillId="0" borderId="0" xfId="2" applyNumberFormat="1" applyFont="1" applyAlignment="1">
      <alignment horizontal="center"/>
    </xf>
    <xf numFmtId="0" fontId="82" fillId="0" borderId="0" xfId="4" applyFont="1" applyAlignment="1">
      <alignment horizontal="right"/>
    </xf>
    <xf numFmtId="0" fontId="80" fillId="0" borderId="0" xfId="4" applyFont="1" applyAlignment="1">
      <alignment horizontal="center"/>
    </xf>
    <xf numFmtId="0" fontId="80" fillId="0" borderId="0" xfId="2" applyFont="1" applyAlignment="1">
      <alignment horizontal="center"/>
    </xf>
    <xf numFmtId="1" fontId="125" fillId="0" borderId="0" xfId="0" applyNumberFormat="1" applyFont="1"/>
    <xf numFmtId="172" fontId="125" fillId="0" borderId="0" xfId="0" applyNumberFormat="1" applyFont="1" applyAlignment="1">
      <alignment horizontal="left"/>
    </xf>
    <xf numFmtId="0" fontId="64" fillId="0" borderId="18" xfId="0" applyFont="1" applyBorder="1" applyAlignment="1">
      <alignment horizontal="center" vertical="top" wrapText="1"/>
    </xf>
    <xf numFmtId="202" fontId="31" fillId="0" borderId="0" xfId="1" applyNumberFormat="1" applyFont="1" applyFill="1" applyBorder="1" applyAlignment="1">
      <alignment horizontal="left"/>
    </xf>
    <xf numFmtId="164" fontId="130" fillId="0" borderId="0" xfId="399" applyNumberFormat="1" applyFont="1" applyAlignment="1">
      <alignment horizontal="center"/>
    </xf>
    <xf numFmtId="169" fontId="7" fillId="3" borderId="0" xfId="0" applyNumberFormat="1" applyFont="1" applyFill="1" applyBorder="1"/>
    <xf numFmtId="203" fontId="7" fillId="3" borderId="0" xfId="0" applyNumberFormat="1" applyFont="1" applyFill="1" applyBorder="1"/>
    <xf numFmtId="164" fontId="128" fillId="3" borderId="0" xfId="0" applyNumberFormat="1" applyFont="1" applyFill="1" applyBorder="1"/>
    <xf numFmtId="165" fontId="90" fillId="8" borderId="0" xfId="0" applyNumberFormat="1" applyFont="1" applyFill="1"/>
    <xf numFmtId="164" fontId="90" fillId="8" borderId="0" xfId="0" applyNumberFormat="1" applyFont="1" applyFill="1" applyAlignment="1">
      <alignment horizontal="center"/>
    </xf>
    <xf numFmtId="166" fontId="103" fillId="8" borderId="0" xfId="0" applyNumberFormat="1" applyFont="1" applyFill="1"/>
    <xf numFmtId="164" fontId="118" fillId="8" borderId="0" xfId="2" applyNumberFormat="1" applyFont="1" applyFill="1"/>
    <xf numFmtId="164" fontId="118" fillId="8" borderId="0" xfId="2" applyNumberFormat="1" applyFont="1" applyFill="1" applyAlignment="1">
      <alignment horizontal="center"/>
    </xf>
    <xf numFmtId="167" fontId="90" fillId="8" borderId="0" xfId="0" applyNumberFormat="1" applyFont="1" applyFill="1"/>
    <xf numFmtId="166" fontId="118" fillId="8" borderId="0" xfId="0" applyNumberFormat="1" applyFont="1" applyFill="1" applyAlignment="1">
      <alignment horizontal="center"/>
    </xf>
    <xf numFmtId="11" fontId="118" fillId="8" borderId="0" xfId="2" applyNumberFormat="1" applyFont="1" applyFill="1"/>
    <xf numFmtId="11" fontId="90" fillId="8" borderId="0" xfId="0" applyNumberFormat="1" applyFont="1" applyFill="1"/>
    <xf numFmtId="204" fontId="135" fillId="11" borderId="0" xfId="433" applyNumberFormat="1" applyBorder="1"/>
    <xf numFmtId="164" fontId="16" fillId="0" borderId="0" xfId="0" applyNumberFormat="1" applyFont="1" applyFill="1"/>
    <xf numFmtId="171" fontId="7" fillId="3" borderId="0" xfId="0" applyNumberFormat="1" applyFont="1" applyFill="1" applyBorder="1" applyAlignment="1">
      <alignment horizontal="center"/>
    </xf>
    <xf numFmtId="171" fontId="16" fillId="0" borderId="0" xfId="0" applyNumberFormat="1" applyFont="1" applyFill="1"/>
    <xf numFmtId="171" fontId="7" fillId="3" borderId="0" xfId="0" applyNumberFormat="1" applyFont="1" applyFill="1" applyBorder="1"/>
    <xf numFmtId="208" fontId="49" fillId="0" borderId="0" xfId="0" applyNumberFormat="1" applyFont="1" applyFill="1" applyBorder="1" applyAlignment="1">
      <alignment horizontal="center"/>
    </xf>
    <xf numFmtId="0" fontId="7" fillId="0" borderId="32" xfId="0" applyFont="1" applyFill="1" applyBorder="1" applyAlignment="1">
      <alignment horizontal="center"/>
    </xf>
    <xf numFmtId="0" fontId="4" fillId="0" borderId="32" xfId="0" applyFont="1" applyFill="1" applyBorder="1" applyAlignment="1">
      <alignment horizontal="right"/>
    </xf>
    <xf numFmtId="165" fontId="12" fillId="0" borderId="32" xfId="0" applyNumberFormat="1" applyFont="1" applyFill="1" applyBorder="1" applyAlignment="1">
      <alignment horizontal="right"/>
    </xf>
    <xf numFmtId="179" fontId="19" fillId="0" borderId="32" xfId="0" applyNumberFormat="1" applyFont="1" applyFill="1" applyBorder="1" applyAlignment="1">
      <alignment horizontal="left"/>
    </xf>
    <xf numFmtId="0" fontId="4" fillId="0" borderId="32" xfId="0" applyFont="1" applyFill="1" applyBorder="1" applyAlignment="1">
      <alignment horizontal="left"/>
    </xf>
    <xf numFmtId="0" fontId="7" fillId="0" borderId="32" xfId="0" applyFont="1" applyFill="1" applyBorder="1"/>
    <xf numFmtId="0" fontId="101" fillId="0" borderId="32" xfId="0" applyFont="1" applyFill="1" applyBorder="1" applyAlignment="1">
      <alignment horizontal="right"/>
    </xf>
    <xf numFmtId="1" fontId="15" fillId="0" borderId="32" xfId="0" applyNumberFormat="1" applyFont="1" applyFill="1" applyBorder="1" applyAlignment="1">
      <alignment horizontal="right"/>
    </xf>
    <xf numFmtId="166" fontId="31" fillId="0" borderId="32" xfId="0" applyNumberFormat="1" applyFont="1" applyFill="1" applyBorder="1" applyAlignment="1">
      <alignment horizontal="right"/>
    </xf>
    <xf numFmtId="174" fontId="31" fillId="0" borderId="32" xfId="0" applyNumberFormat="1" applyFont="1" applyFill="1" applyBorder="1" applyAlignment="1">
      <alignment horizontal="left"/>
    </xf>
    <xf numFmtId="0" fontId="16" fillId="0" borderId="32" xfId="0" applyFont="1" applyFill="1" applyBorder="1"/>
    <xf numFmtId="0" fontId="17" fillId="0" borderId="32" xfId="0" applyFont="1" applyFill="1" applyBorder="1" applyAlignment="1">
      <alignment horizontal="center"/>
    </xf>
    <xf numFmtId="0" fontId="7" fillId="0" borderId="32" xfId="0" applyFont="1" applyFill="1" applyBorder="1" applyAlignment="1">
      <alignment horizontal="right"/>
    </xf>
    <xf numFmtId="0" fontId="36" fillId="0" borderId="32" xfId="0" applyFont="1" applyFill="1" applyBorder="1" applyAlignment="1">
      <alignment horizontal="right"/>
    </xf>
    <xf numFmtId="179" fontId="31" fillId="0" borderId="32" xfId="0" applyNumberFormat="1" applyFont="1" applyFill="1" applyBorder="1" applyAlignment="1">
      <alignment horizontal="left"/>
    </xf>
    <xf numFmtId="166" fontId="131" fillId="0" borderId="32" xfId="0" applyNumberFormat="1" applyFont="1" applyFill="1" applyBorder="1" applyAlignment="1">
      <alignment horizontal="left"/>
    </xf>
    <xf numFmtId="0" fontId="18" fillId="0" borderId="32" xfId="0" applyFont="1" applyFill="1" applyBorder="1" applyAlignment="1">
      <alignment horizontal="center"/>
    </xf>
    <xf numFmtId="0" fontId="31" fillId="0" borderId="32" xfId="0" applyFont="1" applyFill="1" applyBorder="1" applyAlignment="1">
      <alignment horizontal="center"/>
    </xf>
    <xf numFmtId="205" fontId="134" fillId="0" borderId="32" xfId="1" applyNumberFormat="1" applyFont="1" applyFill="1" applyBorder="1" applyAlignment="1">
      <alignment horizontal="left"/>
    </xf>
    <xf numFmtId="179" fontId="14" fillId="0" borderId="32" xfId="0" applyNumberFormat="1" applyFont="1" applyFill="1" applyBorder="1" applyAlignment="1">
      <alignment horizontal="left"/>
    </xf>
    <xf numFmtId="0" fontId="31" fillId="0" borderId="32" xfId="0" applyFont="1" applyFill="1" applyBorder="1" applyAlignment="1">
      <alignment horizontal="right"/>
    </xf>
    <xf numFmtId="0" fontId="31" fillId="0" borderId="32" xfId="0" applyFont="1" applyFill="1" applyBorder="1"/>
    <xf numFmtId="0" fontId="7" fillId="3" borderId="32" xfId="0" applyFont="1" applyFill="1" applyBorder="1" applyAlignment="1">
      <alignment horizontal="center"/>
    </xf>
    <xf numFmtId="0" fontId="7" fillId="5" borderId="32" xfId="0" applyFont="1" applyFill="1" applyBorder="1" applyAlignment="1">
      <alignment horizontal="center"/>
    </xf>
    <xf numFmtId="167" fontId="12" fillId="9" borderId="32" xfId="0" applyNumberFormat="1" applyFont="1" applyFill="1" applyBorder="1" applyAlignment="1">
      <alignment horizontal="center"/>
    </xf>
    <xf numFmtId="165" fontId="12" fillId="9" borderId="32" xfId="0" applyNumberFormat="1" applyFont="1" applyFill="1" applyBorder="1" applyAlignment="1">
      <alignment horizontal="center"/>
    </xf>
    <xf numFmtId="2" fontId="19" fillId="0" borderId="32" xfId="0" applyNumberFormat="1" applyFont="1" applyFill="1" applyBorder="1" applyAlignment="1">
      <alignment horizontal="center"/>
    </xf>
    <xf numFmtId="2" fontId="14" fillId="0" borderId="32" xfId="0" applyNumberFormat="1" applyFont="1" applyFill="1" applyBorder="1" applyAlignment="1">
      <alignment horizontal="center"/>
    </xf>
    <xf numFmtId="2" fontId="4" fillId="0" borderId="32" xfId="0" applyNumberFormat="1" applyFont="1" applyFill="1" applyBorder="1" applyAlignment="1">
      <alignment horizontal="right"/>
    </xf>
    <xf numFmtId="1" fontId="12" fillId="0" borderId="32" xfId="0" applyNumberFormat="1" applyFont="1" applyFill="1" applyBorder="1" applyAlignment="1">
      <alignment horizontal="center"/>
    </xf>
    <xf numFmtId="167" fontId="31" fillId="0" borderId="32" xfId="0" applyNumberFormat="1" applyFont="1" applyFill="1" applyBorder="1" applyAlignment="1">
      <alignment horizontal="center"/>
    </xf>
    <xf numFmtId="164" fontId="6" fillId="9" borderId="32" xfId="0" applyNumberFormat="1" applyFont="1" applyFill="1" applyBorder="1" applyAlignment="1">
      <alignment horizontal="center"/>
    </xf>
    <xf numFmtId="2" fontId="19" fillId="5" borderId="32" xfId="0" applyNumberFormat="1" applyFont="1" applyFill="1" applyBorder="1" applyAlignment="1">
      <alignment horizontal="center"/>
    </xf>
    <xf numFmtId="0" fontId="4" fillId="3" borderId="32" xfId="0" applyFont="1" applyFill="1" applyBorder="1" applyAlignment="1">
      <alignment horizontal="right"/>
    </xf>
    <xf numFmtId="0" fontId="60" fillId="3" borderId="32" xfId="0" applyFont="1" applyFill="1" applyBorder="1" applyAlignment="1">
      <alignment horizontal="center"/>
    </xf>
    <xf numFmtId="1" fontId="19" fillId="9" borderId="32" xfId="0" applyNumberFormat="1" applyFont="1" applyFill="1" applyBorder="1" applyAlignment="1">
      <alignment horizontal="center"/>
    </xf>
    <xf numFmtId="1" fontId="12" fillId="9" borderId="32" xfId="0" applyNumberFormat="1" applyFont="1" applyFill="1" applyBorder="1" applyAlignment="1">
      <alignment horizontal="center"/>
    </xf>
    <xf numFmtId="0" fontId="135" fillId="11" borderId="32" xfId="433" applyBorder="1" applyAlignment="1">
      <alignment horizontal="right"/>
    </xf>
    <xf numFmtId="3" fontId="135" fillId="11" borderId="32" xfId="433" applyNumberFormat="1" applyBorder="1" applyAlignment="1">
      <alignment horizontal="center"/>
    </xf>
    <xf numFmtId="169" fontId="12" fillId="9" borderId="32" xfId="0" applyNumberFormat="1" applyFont="1" applyFill="1" applyBorder="1" applyAlignment="1">
      <alignment horizontal="center"/>
    </xf>
    <xf numFmtId="165" fontId="19" fillId="5" borderId="32" xfId="0" applyNumberFormat="1" applyFont="1" applyFill="1" applyBorder="1" applyAlignment="1">
      <alignment horizontal="center"/>
    </xf>
    <xf numFmtId="3" fontId="12" fillId="0" borderId="32" xfId="1" applyNumberFormat="1" applyFont="1" applyFill="1" applyBorder="1" applyAlignment="1">
      <alignment horizontal="right"/>
    </xf>
    <xf numFmtId="192" fontId="84" fillId="0" borderId="32" xfId="1" applyNumberFormat="1" applyFont="1" applyFill="1" applyBorder="1" applyAlignment="1">
      <alignment horizontal="left"/>
    </xf>
    <xf numFmtId="2" fontId="7" fillId="0" borderId="32" xfId="0" applyNumberFormat="1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4" fillId="8" borderId="32" xfId="0" applyFont="1" applyFill="1" applyBorder="1" applyAlignment="1">
      <alignment horizontal="right"/>
    </xf>
    <xf numFmtId="168" fontId="104" fillId="8" borderId="32" xfId="0" applyNumberFormat="1" applyFont="1" applyFill="1" applyBorder="1" applyAlignment="1">
      <alignment horizontal="center"/>
    </xf>
    <xf numFmtId="1" fontId="104" fillId="8" borderId="32" xfId="0" applyNumberFormat="1" applyFont="1" applyFill="1" applyBorder="1" applyAlignment="1">
      <alignment horizontal="center"/>
    </xf>
    <xf numFmtId="0" fontId="84" fillId="0" borderId="32" xfId="0" applyFont="1" applyFill="1" applyBorder="1" applyAlignment="1">
      <alignment horizontal="right"/>
    </xf>
    <xf numFmtId="174" fontId="84" fillId="0" borderId="32" xfId="0" applyNumberFormat="1" applyFont="1" applyFill="1" applyBorder="1" applyAlignment="1">
      <alignment horizontal="left"/>
    </xf>
    <xf numFmtId="164" fontId="12" fillId="5" borderId="32" xfId="0" applyNumberFormat="1" applyFont="1" applyFill="1" applyBorder="1" applyAlignment="1">
      <alignment horizontal="center"/>
    </xf>
    <xf numFmtId="167" fontId="7" fillId="0" borderId="32" xfId="0" applyNumberFormat="1" applyFont="1" applyFill="1" applyBorder="1" applyAlignment="1">
      <alignment horizontal="right"/>
    </xf>
    <xf numFmtId="0" fontId="4" fillId="0" borderId="32" xfId="0" applyFont="1" applyFill="1" applyBorder="1" applyAlignment="1">
      <alignment horizontal="center"/>
    </xf>
    <xf numFmtId="165" fontId="135" fillId="11" borderId="32" xfId="433" applyNumberFormat="1" applyBorder="1" applyAlignment="1">
      <alignment horizontal="center"/>
    </xf>
    <xf numFmtId="1" fontId="135" fillId="11" borderId="32" xfId="433" applyNumberFormat="1" applyBorder="1" applyAlignment="1">
      <alignment horizontal="center"/>
    </xf>
    <xf numFmtId="1" fontId="14" fillId="0" borderId="32" xfId="0" applyNumberFormat="1" applyFont="1" applyFill="1" applyBorder="1" applyAlignment="1">
      <alignment horizontal="center"/>
    </xf>
    <xf numFmtId="164" fontId="12" fillId="10" borderId="32" xfId="0" applyNumberFormat="1" applyFont="1" applyFill="1" applyBorder="1" applyAlignment="1">
      <alignment horizontal="center"/>
    </xf>
    <xf numFmtId="164" fontId="12" fillId="9" borderId="32" xfId="0" applyNumberFormat="1" applyFont="1" applyFill="1" applyBorder="1" applyAlignment="1">
      <alignment horizontal="center"/>
    </xf>
    <xf numFmtId="2" fontId="19" fillId="9" borderId="32" xfId="0" applyNumberFormat="1" applyFont="1" applyFill="1" applyBorder="1" applyAlignment="1">
      <alignment horizontal="center"/>
    </xf>
    <xf numFmtId="2" fontId="14" fillId="9" borderId="32" xfId="0" applyNumberFormat="1" applyFont="1" applyFill="1" applyBorder="1" applyAlignment="1">
      <alignment horizontal="center"/>
    </xf>
    <xf numFmtId="167" fontId="19" fillId="0" borderId="32" xfId="0" applyNumberFormat="1" applyFont="1" applyFill="1" applyBorder="1" applyAlignment="1">
      <alignment horizontal="center"/>
    </xf>
    <xf numFmtId="167" fontId="7" fillId="0" borderId="32" xfId="0" applyNumberFormat="1" applyFont="1" applyFill="1" applyBorder="1" applyAlignment="1">
      <alignment horizontal="center"/>
    </xf>
    <xf numFmtId="2" fontId="59" fillId="9" borderId="32" xfId="0" applyNumberFormat="1" applyFont="1" applyFill="1" applyBorder="1" applyAlignment="1">
      <alignment horizontal="center"/>
    </xf>
    <xf numFmtId="167" fontId="59" fillId="9" borderId="32" xfId="0" applyNumberFormat="1" applyFont="1" applyFill="1" applyBorder="1" applyAlignment="1">
      <alignment horizontal="center"/>
    </xf>
    <xf numFmtId="0" fontId="19" fillId="0" borderId="32" xfId="0" applyFont="1" applyFill="1" applyBorder="1" applyAlignment="1">
      <alignment horizontal="center"/>
    </xf>
    <xf numFmtId="168" fontId="12" fillId="0" borderId="32" xfId="0" applyNumberFormat="1" applyFont="1" applyFill="1" applyBorder="1" applyAlignment="1">
      <alignment horizontal="center"/>
    </xf>
    <xf numFmtId="167" fontId="12" fillId="0" borderId="32" xfId="0" applyNumberFormat="1" applyFont="1" applyFill="1" applyBorder="1" applyAlignment="1">
      <alignment horizontal="center"/>
    </xf>
    <xf numFmtId="181" fontId="9" fillId="0" borderId="32" xfId="1" applyNumberFormat="1" applyFont="1" applyFill="1" applyBorder="1" applyAlignment="1">
      <alignment horizontal="center"/>
    </xf>
    <xf numFmtId="165" fontId="7" fillId="0" borderId="32" xfId="0" applyNumberFormat="1" applyFont="1" applyFill="1" applyBorder="1"/>
    <xf numFmtId="0" fontId="9" fillId="0" borderId="32" xfId="0" applyFont="1" applyFill="1" applyBorder="1"/>
    <xf numFmtId="0" fontId="7" fillId="3" borderId="32" xfId="0" applyFont="1" applyFill="1" applyBorder="1"/>
    <xf numFmtId="11" fontId="31" fillId="0" borderId="32" xfId="0" applyNumberFormat="1" applyFont="1" applyFill="1" applyBorder="1" applyAlignment="1">
      <alignment horizontal="center"/>
    </xf>
    <xf numFmtId="11" fontId="7" fillId="0" borderId="32" xfId="0" applyNumberFormat="1" applyFont="1" applyFill="1" applyBorder="1" applyAlignment="1">
      <alignment horizontal="center"/>
    </xf>
    <xf numFmtId="1" fontId="9" fillId="0" borderId="32" xfId="0" applyNumberFormat="1" applyFont="1" applyFill="1" applyBorder="1" applyAlignment="1">
      <alignment horizontal="center"/>
    </xf>
    <xf numFmtId="0" fontId="14" fillId="0" borderId="32" xfId="0" applyFont="1" applyFill="1" applyBorder="1" applyAlignment="1">
      <alignment horizontal="center"/>
    </xf>
    <xf numFmtId="193" fontId="19" fillId="0" borderId="32" xfId="1" applyNumberFormat="1" applyFont="1" applyFill="1" applyBorder="1" applyAlignment="1">
      <alignment horizontal="left"/>
    </xf>
    <xf numFmtId="1" fontId="7" fillId="0" borderId="32" xfId="0" applyNumberFormat="1" applyFont="1" applyFill="1" applyBorder="1" applyAlignment="1">
      <alignment horizontal="right"/>
    </xf>
    <xf numFmtId="185" fontId="7" fillId="0" borderId="32" xfId="0" applyNumberFormat="1" applyFont="1" applyFill="1" applyBorder="1" applyAlignment="1">
      <alignment horizontal="left"/>
    </xf>
    <xf numFmtId="0" fontId="127" fillId="8" borderId="32" xfId="0" applyFont="1" applyFill="1" applyBorder="1" applyAlignment="1">
      <alignment horizontal="center"/>
    </xf>
    <xf numFmtId="193" fontId="9" fillId="0" borderId="32" xfId="0" applyNumberFormat="1" applyFont="1" applyFill="1" applyBorder="1" applyAlignment="1">
      <alignment horizontal="left"/>
    </xf>
    <xf numFmtId="0" fontId="97" fillId="3" borderId="32" xfId="0" applyFont="1" applyFill="1" applyBorder="1" applyAlignment="1">
      <alignment horizontal="center"/>
    </xf>
    <xf numFmtId="0" fontId="14" fillId="5" borderId="32" xfId="0" applyFont="1" applyFill="1" applyBorder="1" applyAlignment="1">
      <alignment horizontal="left"/>
    </xf>
    <xf numFmtId="0" fontId="4" fillId="5" borderId="32" xfId="0" applyFont="1" applyFill="1" applyBorder="1" applyAlignment="1">
      <alignment horizontal="right"/>
    </xf>
    <xf numFmtId="164" fontId="7" fillId="5" borderId="32" xfId="0" applyNumberFormat="1" applyFont="1" applyFill="1" applyBorder="1" applyAlignment="1">
      <alignment horizontal="center"/>
    </xf>
    <xf numFmtId="169" fontId="7" fillId="5" borderId="32" xfId="0" applyNumberFormat="1" applyFont="1" applyFill="1" applyBorder="1" applyAlignment="1">
      <alignment horizontal="center"/>
    </xf>
    <xf numFmtId="2" fontId="7" fillId="5" borderId="32" xfId="0" applyNumberFormat="1" applyFont="1" applyFill="1" applyBorder="1" applyAlignment="1">
      <alignment horizontal="center"/>
    </xf>
    <xf numFmtId="2" fontId="14" fillId="5" borderId="32" xfId="0" applyNumberFormat="1" applyFont="1" applyFill="1" applyBorder="1" applyAlignment="1">
      <alignment horizontal="center"/>
    </xf>
    <xf numFmtId="165" fontId="9" fillId="3" borderId="32" xfId="0" applyNumberFormat="1" applyFont="1" applyFill="1" applyBorder="1" applyAlignment="1">
      <alignment horizontal="center"/>
    </xf>
    <xf numFmtId="169" fontId="9" fillId="5" borderId="32" xfId="0" applyNumberFormat="1" applyFont="1" applyFill="1" applyBorder="1" applyAlignment="1">
      <alignment horizontal="center"/>
    </xf>
    <xf numFmtId="2" fontId="9" fillId="3" borderId="32" xfId="0" applyNumberFormat="1" applyFont="1" applyFill="1" applyBorder="1" applyAlignment="1">
      <alignment horizontal="center"/>
    </xf>
    <xf numFmtId="0" fontId="16" fillId="3" borderId="32" xfId="0" applyFont="1" applyFill="1" applyBorder="1"/>
    <xf numFmtId="164" fontId="9" fillId="5" borderId="32" xfId="0" applyNumberFormat="1" applyFont="1" applyFill="1" applyBorder="1" applyAlignment="1">
      <alignment horizontal="center"/>
    </xf>
    <xf numFmtId="169" fontId="9" fillId="3" borderId="32" xfId="0" applyNumberFormat="1" applyFont="1" applyFill="1" applyBorder="1" applyAlignment="1">
      <alignment horizontal="center"/>
    </xf>
    <xf numFmtId="2" fontId="9" fillId="5" borderId="32" xfId="0" applyNumberFormat="1" applyFont="1" applyFill="1" applyBorder="1" applyAlignment="1">
      <alignment horizontal="center"/>
    </xf>
    <xf numFmtId="2" fontId="4" fillId="5" borderId="32" xfId="0" applyNumberFormat="1" applyFont="1" applyFill="1" applyBorder="1" applyAlignment="1">
      <alignment horizontal="right"/>
    </xf>
    <xf numFmtId="166" fontId="7" fillId="5" borderId="32" xfId="0" applyNumberFormat="1" applyFont="1" applyFill="1" applyBorder="1" applyAlignment="1">
      <alignment horizontal="center"/>
    </xf>
    <xf numFmtId="0" fontId="7" fillId="3" borderId="32" xfId="0" applyFont="1" applyFill="1" applyBorder="1" applyAlignment="1">
      <alignment horizontal="right"/>
    </xf>
    <xf numFmtId="164" fontId="7" fillId="3" borderId="32" xfId="0" applyNumberFormat="1" applyFont="1" applyFill="1" applyBorder="1" applyAlignment="1">
      <alignment horizontal="center"/>
    </xf>
    <xf numFmtId="2" fontId="7" fillId="3" borderId="32" xfId="0" applyNumberFormat="1" applyFont="1" applyFill="1" applyBorder="1" applyAlignment="1">
      <alignment horizontal="center"/>
    </xf>
    <xf numFmtId="2" fontId="14" fillId="3" borderId="32" xfId="0" applyNumberFormat="1" applyFont="1" applyFill="1" applyBorder="1" applyAlignment="1">
      <alignment horizontal="center"/>
    </xf>
    <xf numFmtId="2" fontId="7" fillId="5" borderId="32" xfId="0" applyNumberFormat="1" applyFont="1" applyFill="1" applyBorder="1" applyAlignment="1">
      <alignment horizontal="right"/>
    </xf>
    <xf numFmtId="166" fontId="9" fillId="3" borderId="32" xfId="0" applyNumberFormat="1" applyFont="1" applyFill="1" applyBorder="1" applyAlignment="1">
      <alignment horizontal="center"/>
    </xf>
    <xf numFmtId="0" fontId="14" fillId="5" borderId="32" xfId="0" applyFont="1" applyFill="1" applyBorder="1" applyAlignment="1">
      <alignment horizontal="center"/>
    </xf>
    <xf numFmtId="206" fontId="9" fillId="12" borderId="32" xfId="0" applyNumberFormat="1" applyFont="1" applyFill="1" applyBorder="1" applyAlignment="1">
      <alignment horizontal="center"/>
    </xf>
    <xf numFmtId="209" fontId="9" fillId="12" borderId="32" xfId="0" applyNumberFormat="1" applyFont="1" applyFill="1" applyBorder="1" applyAlignment="1">
      <alignment horizontal="center"/>
    </xf>
    <xf numFmtId="167" fontId="9" fillId="5" borderId="32" xfId="0" applyNumberFormat="1" applyFont="1" applyFill="1" applyBorder="1" applyAlignment="1">
      <alignment horizontal="center"/>
    </xf>
    <xf numFmtId="165" fontId="7" fillId="5" borderId="32" xfId="0" applyNumberFormat="1" applyFont="1" applyFill="1" applyBorder="1" applyAlignment="1">
      <alignment horizontal="center"/>
    </xf>
    <xf numFmtId="0" fontId="4" fillId="14" borderId="32" xfId="0" applyFont="1" applyFill="1" applyBorder="1" applyAlignment="1">
      <alignment horizontal="right"/>
    </xf>
    <xf numFmtId="164" fontId="7" fillId="13" borderId="32" xfId="0" applyNumberFormat="1" applyFont="1" applyFill="1" applyBorder="1" applyAlignment="1">
      <alignment horizontal="center"/>
    </xf>
    <xf numFmtId="170" fontId="7" fillId="13" borderId="32" xfId="0" applyNumberFormat="1" applyFont="1" applyFill="1" applyBorder="1" applyAlignment="1">
      <alignment horizontal="center"/>
    </xf>
    <xf numFmtId="0" fontId="3" fillId="5" borderId="32" xfId="0" applyFont="1" applyFill="1" applyBorder="1" applyAlignment="1">
      <alignment horizontal="right"/>
    </xf>
    <xf numFmtId="4" fontId="7" fillId="0" borderId="32" xfId="0" applyNumberFormat="1" applyFont="1" applyFill="1" applyBorder="1" applyAlignment="1">
      <alignment horizontal="right"/>
    </xf>
    <xf numFmtId="175" fontId="7" fillId="5" borderId="32" xfId="0" applyNumberFormat="1" applyFont="1" applyFill="1" applyBorder="1" applyAlignment="1">
      <alignment horizontal="left"/>
    </xf>
    <xf numFmtId="0" fontId="9" fillId="3" borderId="32" xfId="0" applyFont="1" applyFill="1" applyBorder="1"/>
    <xf numFmtId="0" fontId="14" fillId="3" borderId="32" xfId="0" applyFont="1" applyFill="1" applyBorder="1" applyAlignment="1">
      <alignment horizontal="center"/>
    </xf>
    <xf numFmtId="170" fontId="7" fillId="3" borderId="32" xfId="0" applyNumberFormat="1" applyFont="1" applyFill="1" applyBorder="1" applyAlignment="1">
      <alignment horizontal="center"/>
    </xf>
    <xf numFmtId="167" fontId="7" fillId="5" borderId="32" xfId="0" applyNumberFormat="1" applyFont="1" applyFill="1" applyBorder="1" applyAlignment="1">
      <alignment horizontal="center"/>
    </xf>
    <xf numFmtId="164" fontId="9" fillId="3" borderId="32" xfId="0" applyNumberFormat="1" applyFont="1" applyFill="1" applyBorder="1" applyAlignment="1">
      <alignment horizontal="center"/>
    </xf>
    <xf numFmtId="0" fontId="133" fillId="3" borderId="32" xfId="0" applyFont="1" applyFill="1" applyBorder="1" applyAlignment="1">
      <alignment horizontal="center"/>
    </xf>
    <xf numFmtId="0" fontId="7" fillId="5" borderId="32" xfId="0" applyFont="1" applyFill="1" applyBorder="1" applyAlignment="1">
      <alignment horizontal="right"/>
    </xf>
    <xf numFmtId="165" fontId="7" fillId="3" borderId="32" xfId="0" applyNumberFormat="1" applyFont="1" applyFill="1" applyBorder="1" applyAlignment="1">
      <alignment horizontal="center"/>
    </xf>
    <xf numFmtId="0" fontId="132" fillId="3" borderId="32" xfId="0" applyFont="1" applyFill="1" applyBorder="1" applyAlignment="1">
      <alignment horizontal="center"/>
    </xf>
    <xf numFmtId="209" fontId="7" fillId="13" borderId="32" xfId="0" applyNumberFormat="1" applyFont="1" applyFill="1" applyBorder="1" applyAlignment="1">
      <alignment horizontal="center"/>
    </xf>
    <xf numFmtId="207" fontId="7" fillId="13" borderId="32" xfId="0" applyNumberFormat="1" applyFont="1" applyFill="1" applyBorder="1" applyAlignment="1">
      <alignment horizontal="center"/>
    </xf>
    <xf numFmtId="206" fontId="7" fillId="13" borderId="32" xfId="0" applyNumberFormat="1" applyFont="1" applyFill="1" applyBorder="1" applyAlignment="1">
      <alignment horizontal="center"/>
    </xf>
    <xf numFmtId="0" fontId="14" fillId="3" borderId="32" xfId="0" applyFont="1" applyFill="1" applyBorder="1"/>
    <xf numFmtId="173" fontId="30" fillId="5" borderId="32" xfId="0" applyNumberFormat="1" applyFont="1" applyFill="1" applyBorder="1" applyAlignment="1">
      <alignment horizontal="center"/>
    </xf>
    <xf numFmtId="1" fontId="14" fillId="0" borderId="32" xfId="0" applyNumberFormat="1" applyFont="1" applyFill="1" applyBorder="1"/>
    <xf numFmtId="164" fontId="4" fillId="5" borderId="32" xfId="0" applyNumberFormat="1" applyFont="1" applyFill="1" applyBorder="1" applyAlignment="1">
      <alignment horizontal="center"/>
    </xf>
    <xf numFmtId="165" fontId="136" fillId="5" borderId="32" xfId="0" applyNumberFormat="1" applyFont="1" applyFill="1" applyBorder="1" applyAlignment="1">
      <alignment horizontal="center"/>
    </xf>
    <xf numFmtId="164" fontId="136" fillId="5" borderId="32" xfId="0" applyNumberFormat="1" applyFont="1" applyFill="1" applyBorder="1" applyAlignment="1">
      <alignment horizontal="center"/>
    </xf>
    <xf numFmtId="167" fontId="136" fillId="5" borderId="32" xfId="0" applyNumberFormat="1" applyFont="1" applyFill="1" applyBorder="1" applyAlignment="1">
      <alignment horizontal="center"/>
    </xf>
    <xf numFmtId="2" fontId="136" fillId="5" borderId="32" xfId="0" applyNumberFormat="1" applyFont="1" applyFill="1" applyBorder="1" applyAlignment="1">
      <alignment horizontal="center"/>
    </xf>
    <xf numFmtId="169" fontId="136" fillId="5" borderId="32" xfId="0" applyNumberFormat="1" applyFont="1" applyFill="1" applyBorder="1" applyAlignment="1">
      <alignment horizontal="center"/>
    </xf>
    <xf numFmtId="166" fontId="136" fillId="5" borderId="32" xfId="0" applyNumberFormat="1" applyFont="1" applyFill="1" applyBorder="1" applyAlignment="1">
      <alignment horizontal="center"/>
    </xf>
    <xf numFmtId="1" fontId="136" fillId="5" borderId="32" xfId="0" applyNumberFormat="1" applyFont="1" applyFill="1" applyBorder="1" applyAlignment="1">
      <alignment horizontal="center"/>
    </xf>
    <xf numFmtId="0" fontId="64" fillId="0" borderId="18" xfId="0" applyFont="1" applyBorder="1" applyAlignment="1">
      <alignment horizontal="center" vertical="top" wrapText="1"/>
    </xf>
    <xf numFmtId="0" fontId="7" fillId="0" borderId="0" xfId="0" applyNumberFormat="1" applyFont="1" applyFill="1" applyBorder="1"/>
    <xf numFmtId="0" fontId="65" fillId="0" borderId="22" xfId="0" applyFont="1" applyBorder="1" applyAlignment="1">
      <alignment horizontal="center" vertical="top" wrapText="1"/>
    </xf>
    <xf numFmtId="0" fontId="64" fillId="0" borderId="18" xfId="0" applyFont="1" applyBorder="1" applyAlignment="1">
      <alignment horizontal="center" vertical="top" wrapText="1"/>
    </xf>
    <xf numFmtId="0" fontId="0" fillId="0" borderId="2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69" fillId="0" borderId="22" xfId="0" applyFont="1" applyBorder="1" applyAlignment="1">
      <alignment horizontal="center" vertical="top" wrapText="1"/>
    </xf>
    <xf numFmtId="0" fontId="85" fillId="0" borderId="22" xfId="0" applyFont="1" applyBorder="1" applyAlignment="1">
      <alignment horizontal="center" vertical="top" wrapText="1"/>
    </xf>
    <xf numFmtId="0" fontId="86" fillId="0" borderId="18" xfId="0" applyFont="1" applyBorder="1" applyAlignment="1">
      <alignment horizontal="center" vertical="top" wrapText="1"/>
    </xf>
  </cellXfs>
  <cellStyles count="434">
    <cellStyle name="Akzent1" xfId="433" builtinId="29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Besuchter Hyperlink" xfId="18" builtinId="9" hidden="1"/>
    <cellStyle name="Besuchter Hyperlink" xfId="20" builtinId="9" hidden="1"/>
    <cellStyle name="Besuchter Hyperlink" xfId="22" builtinId="9" hidden="1"/>
    <cellStyle name="Besuchter Hyperlink" xfId="24" builtinId="9" hidden="1"/>
    <cellStyle name="Besuchter Hyperlink" xfId="26" builtinId="9" hidden="1"/>
    <cellStyle name="Besuchter Hyperlink" xfId="28" builtinId="9" hidden="1"/>
    <cellStyle name="Besuchter Hyperlink" xfId="30" builtinId="9" hidden="1"/>
    <cellStyle name="Besuchter Hyperlink" xfId="32" builtinId="9" hidden="1"/>
    <cellStyle name="Besuchter Hyperlink" xfId="34" builtinId="9" hidden="1"/>
    <cellStyle name="Besuchter Hyperlink" xfId="36" builtinId="9" hidden="1"/>
    <cellStyle name="Besuchter Hyperlink" xfId="38" builtinId="9" hidden="1"/>
    <cellStyle name="Besuchter Hyperlink" xfId="40" builtinId="9" hidden="1"/>
    <cellStyle name="Besuchter Hyperlink" xfId="42" builtinId="9" hidden="1"/>
    <cellStyle name="Besuchter Hyperlink" xfId="44" builtinId="9" hidden="1"/>
    <cellStyle name="Besuchter Hyperlink" xfId="46" builtinId="9" hidden="1"/>
    <cellStyle name="Besuchter Hyperlink" xfId="48" builtinId="9" hidden="1"/>
    <cellStyle name="Besuchter Hyperlink" xfId="50" builtinId="9" hidden="1"/>
    <cellStyle name="Besuchter Hyperlink" xfId="52" builtinId="9" hidden="1"/>
    <cellStyle name="Besuchter Hyperlink" xfId="54" builtinId="9" hidden="1"/>
    <cellStyle name="Besuchter Hyperlink" xfId="56" builtinId="9" hidden="1"/>
    <cellStyle name="Besuchter Hyperlink" xfId="58" builtinId="9" hidden="1"/>
    <cellStyle name="Besuchter Hyperlink" xfId="60" builtinId="9" hidden="1"/>
    <cellStyle name="Besuchter Hyperlink" xfId="62" builtinId="9" hidden="1"/>
    <cellStyle name="Besuchter Hyperlink" xfId="64" builtinId="9" hidden="1"/>
    <cellStyle name="Besuchter Hyperlink" xfId="66" builtinId="9" hidden="1"/>
    <cellStyle name="Besuchter Hyperlink" xfId="68" builtinId="9" hidden="1"/>
    <cellStyle name="Besuchter Hyperlink" xfId="70" builtinId="9" hidden="1"/>
    <cellStyle name="Besuchter Hyperlink" xfId="72" builtinId="9" hidden="1"/>
    <cellStyle name="Besuchter Hyperlink" xfId="74" builtinId="9" hidden="1"/>
    <cellStyle name="Besuchter Hyperlink" xfId="76" builtinId="9" hidden="1"/>
    <cellStyle name="Besuchter Hyperlink" xfId="78" builtinId="9" hidden="1"/>
    <cellStyle name="Besuchter Hyperlink" xfId="80" builtinId="9" hidden="1"/>
    <cellStyle name="Besuchter Hyperlink" xfId="82" builtinId="9" hidden="1"/>
    <cellStyle name="Besuchter Hyperlink" xfId="84" builtinId="9" hidden="1"/>
    <cellStyle name="Besuchter Hyperlink" xfId="86" builtinId="9" hidden="1"/>
    <cellStyle name="Besuchter Hyperlink" xfId="88" builtinId="9" hidden="1"/>
    <cellStyle name="Besuchter Hyperlink" xfId="90" builtinId="9" hidden="1"/>
    <cellStyle name="Besuchter Hyperlink" xfId="92" builtinId="9" hidden="1"/>
    <cellStyle name="Besuchter Hyperlink" xfId="94" builtinId="9" hidden="1"/>
    <cellStyle name="Besuchter Hyperlink" xfId="96" builtinId="9" hidden="1"/>
    <cellStyle name="Besuchter Hyperlink" xfId="98" builtinId="9" hidden="1"/>
    <cellStyle name="Besuchter Hyperlink" xfId="100" builtinId="9" hidden="1"/>
    <cellStyle name="Besuchter Hyperlink" xfId="102" builtinId="9" hidden="1"/>
    <cellStyle name="Besuchter Hyperlink" xfId="104" builtinId="9" hidden="1"/>
    <cellStyle name="Besuchter Hyperlink" xfId="106" builtinId="9" hidden="1"/>
    <cellStyle name="Besuchter Hyperlink" xfId="108" builtinId="9" hidden="1"/>
    <cellStyle name="Besuchter Hyperlink" xfId="110" builtinId="9" hidden="1"/>
    <cellStyle name="Besuchter Hyperlink" xfId="112" builtinId="9" hidden="1"/>
    <cellStyle name="Besuchter Hyperlink" xfId="114" builtinId="9" hidden="1"/>
    <cellStyle name="Besuchter Hyperlink" xfId="116" builtinId="9" hidden="1"/>
    <cellStyle name="Besuchter Hyperlink" xfId="118" builtinId="9" hidden="1"/>
    <cellStyle name="Besuchter Hyperlink" xfId="120" builtinId="9" hidden="1"/>
    <cellStyle name="Besuchter Hyperlink" xfId="122" builtinId="9" hidden="1"/>
    <cellStyle name="Besuchter Hyperlink" xfId="124" builtinId="9" hidden="1"/>
    <cellStyle name="Besuchter Hyperlink" xfId="126" builtinId="9" hidden="1"/>
    <cellStyle name="Besuchter Hyperlink" xfId="128" builtinId="9" hidden="1"/>
    <cellStyle name="Besuchter Hyperlink" xfId="130" builtinId="9" hidden="1"/>
    <cellStyle name="Besuchter Hyperlink" xfId="132" builtinId="9" hidden="1"/>
    <cellStyle name="Besuchter Hyperlink" xfId="134" builtinId="9" hidden="1"/>
    <cellStyle name="Besuchter Hyperlink" xfId="136" builtinId="9" hidden="1"/>
    <cellStyle name="Besuchter Hyperlink" xfId="138" builtinId="9" hidden="1"/>
    <cellStyle name="Besuchter Hyperlink" xfId="140" builtinId="9" hidden="1"/>
    <cellStyle name="Besuchter Hyperlink" xfId="142" builtinId="9" hidden="1"/>
    <cellStyle name="Besuchter Hyperlink" xfId="144" builtinId="9" hidden="1"/>
    <cellStyle name="Besuchter Hyperlink" xfId="146" builtinId="9" hidden="1"/>
    <cellStyle name="Besuchter Hyperlink" xfId="148" builtinId="9" hidden="1"/>
    <cellStyle name="Besuchter Hyperlink" xfId="150" builtinId="9" hidden="1"/>
    <cellStyle name="Besuchter Hyperlink" xfId="152" builtinId="9" hidden="1"/>
    <cellStyle name="Besuchter Hyperlink" xfId="154" builtinId="9" hidden="1"/>
    <cellStyle name="Besuchter Hyperlink" xfId="156" builtinId="9" hidden="1"/>
    <cellStyle name="Besuchter Hyperlink" xfId="158" builtinId="9" hidden="1"/>
    <cellStyle name="Besuchter Hyperlink" xfId="160" builtinId="9" hidden="1"/>
    <cellStyle name="Besuchter Hyperlink" xfId="162" builtinId="9" hidden="1"/>
    <cellStyle name="Besuchter Hyperlink" xfId="164" builtinId="9" hidden="1"/>
    <cellStyle name="Besuchter Hyperlink" xfId="166" builtinId="9" hidden="1"/>
    <cellStyle name="Besuchter Hyperlink" xfId="168" builtinId="9" hidden="1"/>
    <cellStyle name="Besuchter Hyperlink" xfId="170" builtinId="9" hidden="1"/>
    <cellStyle name="Besuchter Hyperlink" xfId="172" builtinId="9" hidden="1"/>
    <cellStyle name="Besuchter Hyperlink" xfId="174" builtinId="9" hidden="1"/>
    <cellStyle name="Besuchter Hyperlink" xfId="176" builtinId="9" hidden="1"/>
    <cellStyle name="Besuchter Hyperlink" xfId="178" builtinId="9" hidden="1"/>
    <cellStyle name="Besuchter Hyperlink" xfId="180" builtinId="9" hidden="1"/>
    <cellStyle name="Besuchter Hyperlink" xfId="182" builtinId="9" hidden="1"/>
    <cellStyle name="Besuchter Hyperlink" xfId="184" builtinId="9" hidden="1"/>
    <cellStyle name="Besuchter Hyperlink" xfId="186" builtinId="9" hidden="1"/>
    <cellStyle name="Besuchter Hyperlink" xfId="188" builtinId="9" hidden="1"/>
    <cellStyle name="Besuchter Hyperlink" xfId="190" builtinId="9" hidden="1"/>
    <cellStyle name="Besuchter Hyperlink" xfId="192" builtinId="9" hidden="1"/>
    <cellStyle name="Besuchter Hyperlink" xfId="194" builtinId="9" hidden="1"/>
    <cellStyle name="Besuchter Hyperlink" xfId="196" builtinId="9" hidden="1"/>
    <cellStyle name="Besuchter Hyperlink" xfId="198" builtinId="9" hidden="1"/>
    <cellStyle name="Besuchter Hyperlink" xfId="200" builtinId="9" hidden="1"/>
    <cellStyle name="Besuchter Hyperlink" xfId="202" builtinId="9" hidden="1"/>
    <cellStyle name="Besuchter Hyperlink" xfId="204" builtinId="9" hidden="1"/>
    <cellStyle name="Besuchter Hyperlink" xfId="206" builtinId="9" hidden="1"/>
    <cellStyle name="Besuchter Hyperlink" xfId="208" builtinId="9" hidden="1"/>
    <cellStyle name="Besuchter Hyperlink" xfId="210" builtinId="9" hidden="1"/>
    <cellStyle name="Besuchter Hyperlink" xfId="212" builtinId="9" hidden="1"/>
    <cellStyle name="Besuchter Hyperlink" xfId="214" builtinId="9" hidden="1"/>
    <cellStyle name="Besuchter Hyperlink" xfId="216" builtinId="9" hidden="1"/>
    <cellStyle name="Besuchter Hyperlink" xfId="218" builtinId="9" hidden="1"/>
    <cellStyle name="Besuchter Hyperlink" xfId="220" builtinId="9" hidden="1"/>
    <cellStyle name="Besuchter Hyperlink" xfId="222" builtinId="9" hidden="1"/>
    <cellStyle name="Besuchter Hyperlink" xfId="224" builtinId="9" hidden="1"/>
    <cellStyle name="Besuchter Hyperlink" xfId="226" builtinId="9" hidden="1"/>
    <cellStyle name="Besuchter Hyperlink" xfId="228" builtinId="9" hidden="1"/>
    <cellStyle name="Besuchter Hyperlink" xfId="230" builtinId="9" hidden="1"/>
    <cellStyle name="Besuchter Hyperlink" xfId="232" builtinId="9" hidden="1"/>
    <cellStyle name="Besuchter Hyperlink" xfId="234" builtinId="9" hidden="1"/>
    <cellStyle name="Besuchter Hyperlink" xfId="236" builtinId="9" hidden="1"/>
    <cellStyle name="Besuchter Hyperlink" xfId="238" builtinId="9" hidden="1"/>
    <cellStyle name="Besuchter Hyperlink" xfId="240" builtinId="9" hidden="1"/>
    <cellStyle name="Besuchter Hyperlink" xfId="242" builtinId="9" hidden="1"/>
    <cellStyle name="Besuchter Hyperlink" xfId="244" builtinId="9" hidden="1"/>
    <cellStyle name="Besuchter Hyperlink" xfId="246" builtinId="9" hidden="1"/>
    <cellStyle name="Besuchter Hyperlink" xfId="248" builtinId="9" hidden="1"/>
    <cellStyle name="Besuchter Hyperlink" xfId="250" builtinId="9" hidden="1"/>
    <cellStyle name="Besuchter Hyperlink" xfId="252" builtinId="9" hidden="1"/>
    <cellStyle name="Besuchter Hyperlink" xfId="254" builtinId="9" hidden="1"/>
    <cellStyle name="Besuchter Hyperlink" xfId="256" builtinId="9" hidden="1"/>
    <cellStyle name="Besuchter Hyperlink" xfId="258" builtinId="9" hidden="1"/>
    <cellStyle name="Besuchter Hyperlink" xfId="260" builtinId="9" hidden="1"/>
    <cellStyle name="Besuchter Hyperlink" xfId="262" builtinId="9" hidden="1"/>
    <cellStyle name="Besuchter Hyperlink" xfId="264" builtinId="9" hidden="1"/>
    <cellStyle name="Besuchter Hyperlink" xfId="266" builtinId="9" hidden="1"/>
    <cellStyle name="Besuchter Hyperlink" xfId="268" builtinId="9" hidden="1"/>
    <cellStyle name="Besuchter Hyperlink" xfId="270" builtinId="9" hidden="1"/>
    <cellStyle name="Besuchter Hyperlink" xfId="272" builtinId="9" hidden="1"/>
    <cellStyle name="Besuchter Hyperlink" xfId="274" builtinId="9" hidden="1"/>
    <cellStyle name="Besuchter Hyperlink" xfId="276" builtinId="9" hidden="1"/>
    <cellStyle name="Besuchter Hyperlink" xfId="278" builtinId="9" hidden="1"/>
    <cellStyle name="Besuchter Hyperlink" xfId="280" builtinId="9" hidden="1"/>
    <cellStyle name="Besuchter Hyperlink" xfId="282" builtinId="9" hidden="1"/>
    <cellStyle name="Besuchter Hyperlink" xfId="284" builtinId="9" hidden="1"/>
    <cellStyle name="Besuchter Hyperlink" xfId="286" builtinId="9" hidden="1"/>
    <cellStyle name="Besuchter Hyperlink" xfId="288" builtinId="9" hidden="1"/>
    <cellStyle name="Besuchter Hyperlink" xfId="290" builtinId="9" hidden="1"/>
    <cellStyle name="Besuchter Hyperlink" xfId="292" builtinId="9" hidden="1"/>
    <cellStyle name="Besuchter Hyperlink" xfId="294" builtinId="9" hidden="1"/>
    <cellStyle name="Besuchter Hyperlink" xfId="296" builtinId="9" hidden="1"/>
    <cellStyle name="Besuchter Hyperlink" xfId="298" builtinId="9" hidden="1"/>
    <cellStyle name="Besuchter Hyperlink" xfId="300" builtinId="9" hidden="1"/>
    <cellStyle name="Besuchter Hyperlink" xfId="302" builtinId="9" hidden="1"/>
    <cellStyle name="Besuchter Hyperlink" xfId="304" builtinId="9" hidden="1"/>
    <cellStyle name="Besuchter Hyperlink" xfId="306" builtinId="9" hidden="1"/>
    <cellStyle name="Besuchter Hyperlink" xfId="308" builtinId="9" hidden="1"/>
    <cellStyle name="Besuchter Hyperlink" xfId="310" builtinId="9" hidden="1"/>
    <cellStyle name="Besuchter Hyperlink" xfId="312" builtinId="9" hidden="1"/>
    <cellStyle name="Besuchter Hyperlink" xfId="314" builtinId="9" hidden="1"/>
    <cellStyle name="Besuchter Hyperlink" xfId="316" builtinId="9" hidden="1"/>
    <cellStyle name="Besuchter Hyperlink" xfId="318" builtinId="9" hidden="1"/>
    <cellStyle name="Besuchter Hyperlink" xfId="320" builtinId="9" hidden="1"/>
    <cellStyle name="Besuchter Hyperlink" xfId="322" builtinId="9" hidden="1"/>
    <cellStyle name="Besuchter Hyperlink" xfId="324" builtinId="9" hidden="1"/>
    <cellStyle name="Besuchter Hyperlink" xfId="326" builtinId="9" hidden="1"/>
    <cellStyle name="Besuchter Hyperlink" xfId="328" builtinId="9" hidden="1"/>
    <cellStyle name="Besuchter Hyperlink" xfId="330" builtinId="9" hidden="1"/>
    <cellStyle name="Besuchter Hyperlink" xfId="332" builtinId="9" hidden="1"/>
    <cellStyle name="Besuchter Hyperlink" xfId="334" builtinId="9" hidden="1"/>
    <cellStyle name="Besuchter Hyperlink" xfId="336" builtinId="9" hidden="1"/>
    <cellStyle name="Besuchter Hyperlink" xfId="338" builtinId="9" hidden="1"/>
    <cellStyle name="Besuchter Hyperlink" xfId="340" builtinId="9" hidden="1"/>
    <cellStyle name="Besuchter Hyperlink" xfId="342" builtinId="9" hidden="1"/>
    <cellStyle name="Besuchter Hyperlink" xfId="344" builtinId="9" hidden="1"/>
    <cellStyle name="Besuchter Hyperlink" xfId="346" builtinId="9" hidden="1"/>
    <cellStyle name="Besuchter Hyperlink" xfId="348" builtinId="9" hidden="1"/>
    <cellStyle name="Besuchter Hyperlink" xfId="350" builtinId="9" hidden="1"/>
    <cellStyle name="Besuchter Hyperlink" xfId="352" builtinId="9" hidden="1"/>
    <cellStyle name="Besuchter Hyperlink" xfId="354" builtinId="9" hidden="1"/>
    <cellStyle name="Besuchter Hyperlink" xfId="356" builtinId="9" hidden="1"/>
    <cellStyle name="Besuchter Hyperlink" xfId="358" builtinId="9" hidden="1"/>
    <cellStyle name="Besuchter Hyperlink" xfId="360" builtinId="9" hidden="1"/>
    <cellStyle name="Besuchter Hyperlink" xfId="362" builtinId="9" hidden="1"/>
    <cellStyle name="Besuchter Hyperlink" xfId="364" builtinId="9" hidden="1"/>
    <cellStyle name="Besuchter Hyperlink" xfId="366" builtinId="9" hidden="1"/>
    <cellStyle name="Besuchter Hyperlink" xfId="368" builtinId="9" hidden="1"/>
    <cellStyle name="Besuchter Hyperlink" xfId="370" builtinId="9" hidden="1"/>
    <cellStyle name="Besuchter Hyperlink" xfId="372" builtinId="9" hidden="1"/>
    <cellStyle name="Besuchter Hyperlink" xfId="374" builtinId="9" hidden="1"/>
    <cellStyle name="Besuchter Hyperlink" xfId="376" builtinId="9" hidden="1"/>
    <cellStyle name="Besuchter Hyperlink" xfId="378" builtinId="9" hidden="1"/>
    <cellStyle name="Besuchter Hyperlink" xfId="380" builtinId="9" hidden="1"/>
    <cellStyle name="Besuchter Hyperlink" xfId="382" builtinId="9" hidden="1"/>
    <cellStyle name="Besuchter Hyperlink" xfId="384" builtinId="9" hidden="1"/>
    <cellStyle name="Besuchter Hyperlink" xfId="386" builtinId="9" hidden="1"/>
    <cellStyle name="Besuchter Hyperlink" xfId="388" builtinId="9" hidden="1"/>
    <cellStyle name="Besuchter Hyperlink" xfId="390" builtinId="9" hidden="1"/>
    <cellStyle name="Besuchter Hyperlink" xfId="392" builtinId="9" hidden="1"/>
    <cellStyle name="Besuchter Hyperlink" xfId="394" builtinId="9" hidden="1"/>
    <cellStyle name="Besuchter Hyperlink" xfId="396" builtinId="9" hidden="1"/>
    <cellStyle name="Besuchter Hyperlink" xfId="398" builtinId="9" hidden="1"/>
    <cellStyle name="Besuchter Hyperlink" xfId="402" builtinId="9" hidden="1"/>
    <cellStyle name="Besuchter Hyperlink" xfId="404" builtinId="9" hidden="1"/>
    <cellStyle name="Besuchter Hyperlink" xfId="406" builtinId="9" hidden="1"/>
    <cellStyle name="Besuchter Hyperlink" xfId="408" builtinId="9" hidden="1"/>
    <cellStyle name="Besuchter Hyperlink" xfId="410" builtinId="9" hidden="1"/>
    <cellStyle name="Besuchter Hyperlink" xfId="412" builtinId="9" hidden="1"/>
    <cellStyle name="Besuchter Hyperlink" xfId="414" builtinId="9" hidden="1"/>
    <cellStyle name="Besuchter Hyperlink" xfId="416" builtinId="9" hidden="1"/>
    <cellStyle name="Besuchter Hyperlink" xfId="418" builtinId="9" hidden="1"/>
    <cellStyle name="Besuchter Hyperlink" xfId="420" builtinId="9" hidden="1"/>
    <cellStyle name="Besuchter Hyperlink" xfId="422" builtinId="9" hidden="1"/>
    <cellStyle name="Besuchter Hyperlink" xfId="424" builtinId="9" hidden="1"/>
    <cellStyle name="Besuchter Hyperlink" xfId="426" builtinId="9" hidden="1"/>
    <cellStyle name="Besuchter Hyperlink" xfId="428" builtinId="9" hidden="1"/>
    <cellStyle name="Besuchter Hyperlink" xfId="430" builtinId="9" hidden="1"/>
    <cellStyle name="Besuchter Hyperlink" xfId="432" builtinId="9" hidden="1"/>
    <cellStyle name="Komma" xfId="1" builtinId="3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Link" xfId="21" builtinId="8" hidden="1"/>
    <cellStyle name="Link" xfId="23" builtinId="8" hidden="1"/>
    <cellStyle name="Link" xfId="25" builtinId="8" hidden="1"/>
    <cellStyle name="Link" xfId="27" builtinId="8" hidden="1"/>
    <cellStyle name="Link" xfId="29" builtinId="8" hidden="1"/>
    <cellStyle name="Link" xfId="31" builtinId="8" hidden="1"/>
    <cellStyle name="Link" xfId="33" builtinId="8" hidden="1"/>
    <cellStyle name="Link" xfId="35" builtinId="8" hidden="1"/>
    <cellStyle name="Link" xfId="37" builtinId="8" hidden="1"/>
    <cellStyle name="Link" xfId="39" builtinId="8" hidden="1"/>
    <cellStyle name="Link" xfId="41" builtinId="8" hidden="1"/>
    <cellStyle name="Link" xfId="43" builtinId="8" hidden="1"/>
    <cellStyle name="Link" xfId="45" builtinId="8" hidden="1"/>
    <cellStyle name="Link" xfId="47" builtinId="8" hidden="1"/>
    <cellStyle name="Link" xfId="49" builtinId="8" hidden="1"/>
    <cellStyle name="Link" xfId="51" builtinId="8" hidden="1"/>
    <cellStyle name="Link" xfId="53" builtinId="8" hidden="1"/>
    <cellStyle name="Link" xfId="55" builtinId="8" hidden="1"/>
    <cellStyle name="Link" xfId="57" builtinId="8" hidden="1"/>
    <cellStyle name="Link" xfId="59" builtinId="8" hidden="1"/>
    <cellStyle name="Link" xfId="61" builtinId="8" hidden="1"/>
    <cellStyle name="Link" xfId="63" builtinId="8" hidden="1"/>
    <cellStyle name="Link" xfId="65" builtinId="8" hidden="1"/>
    <cellStyle name="Link" xfId="67" builtinId="8" hidden="1"/>
    <cellStyle name="Link" xfId="69" builtinId="8" hidden="1"/>
    <cellStyle name="Link" xfId="71" builtinId="8" hidden="1"/>
    <cellStyle name="Link" xfId="73" builtinId="8" hidden="1"/>
    <cellStyle name="Link" xfId="75" builtinId="8" hidden="1"/>
    <cellStyle name="Link" xfId="77" builtinId="8" hidden="1"/>
    <cellStyle name="Link" xfId="79" builtinId="8" hidden="1"/>
    <cellStyle name="Link" xfId="81" builtinId="8" hidden="1"/>
    <cellStyle name="Link" xfId="83" builtinId="8" hidden="1"/>
    <cellStyle name="Link" xfId="85" builtinId="8" hidden="1"/>
    <cellStyle name="Link" xfId="87" builtinId="8" hidden="1"/>
    <cellStyle name="Link" xfId="89" builtinId="8" hidden="1"/>
    <cellStyle name="Link" xfId="91" builtinId="8" hidden="1"/>
    <cellStyle name="Link" xfId="93" builtinId="8" hidden="1"/>
    <cellStyle name="Link" xfId="95" builtinId="8" hidden="1"/>
    <cellStyle name="Link" xfId="97" builtinId="8" hidden="1"/>
    <cellStyle name="Link" xfId="99" builtinId="8" hidden="1"/>
    <cellStyle name="Link" xfId="101" builtinId="8" hidden="1"/>
    <cellStyle name="Link" xfId="103" builtinId="8" hidden="1"/>
    <cellStyle name="Link" xfId="105" builtinId="8" hidden="1"/>
    <cellStyle name="Link" xfId="107" builtinId="8" hidden="1"/>
    <cellStyle name="Link" xfId="109" builtinId="8" hidden="1"/>
    <cellStyle name="Link" xfId="111" builtinId="8" hidden="1"/>
    <cellStyle name="Link" xfId="113" builtinId="8" hidden="1"/>
    <cellStyle name="Link" xfId="115" builtinId="8" hidden="1"/>
    <cellStyle name="Link" xfId="117" builtinId="8" hidden="1"/>
    <cellStyle name="Link" xfId="119" builtinId="8" hidden="1"/>
    <cellStyle name="Link" xfId="121" builtinId="8" hidden="1"/>
    <cellStyle name="Link" xfId="123" builtinId="8" hidden="1"/>
    <cellStyle name="Link" xfId="125" builtinId="8" hidden="1"/>
    <cellStyle name="Link" xfId="127" builtinId="8" hidden="1"/>
    <cellStyle name="Link" xfId="129" builtinId="8" hidden="1"/>
    <cellStyle name="Link" xfId="131" builtinId="8" hidden="1"/>
    <cellStyle name="Link" xfId="133" builtinId="8" hidden="1"/>
    <cellStyle name="Link" xfId="135" builtinId="8" hidden="1"/>
    <cellStyle name="Link" xfId="137" builtinId="8" hidden="1"/>
    <cellStyle name="Link" xfId="139" builtinId="8" hidden="1"/>
    <cellStyle name="Link" xfId="141" builtinId="8" hidden="1"/>
    <cellStyle name="Link" xfId="143" builtinId="8" hidden="1"/>
    <cellStyle name="Link" xfId="145" builtinId="8" hidden="1"/>
    <cellStyle name="Link" xfId="147" builtinId="8" hidden="1"/>
    <cellStyle name="Link" xfId="149" builtinId="8" hidden="1"/>
    <cellStyle name="Link" xfId="151" builtinId="8" hidden="1"/>
    <cellStyle name="Link" xfId="153" builtinId="8" hidden="1"/>
    <cellStyle name="Link" xfId="155" builtinId="8" hidden="1"/>
    <cellStyle name="Link" xfId="157" builtinId="8" hidden="1"/>
    <cellStyle name="Link" xfId="159" builtinId="8" hidden="1"/>
    <cellStyle name="Link" xfId="161" builtinId="8" hidden="1"/>
    <cellStyle name="Link" xfId="163" builtinId="8" hidden="1"/>
    <cellStyle name="Link" xfId="165" builtinId="8" hidden="1"/>
    <cellStyle name="Link" xfId="167" builtinId="8" hidden="1"/>
    <cellStyle name="Link" xfId="169" builtinId="8" hidden="1"/>
    <cellStyle name="Link" xfId="171" builtinId="8" hidden="1"/>
    <cellStyle name="Link" xfId="173" builtinId="8" hidden="1"/>
    <cellStyle name="Link" xfId="175" builtinId="8" hidden="1"/>
    <cellStyle name="Link" xfId="177" builtinId="8" hidden="1"/>
    <cellStyle name="Link" xfId="179" builtinId="8" hidden="1"/>
    <cellStyle name="Link" xfId="181" builtinId="8" hidden="1"/>
    <cellStyle name="Link" xfId="183" builtinId="8" hidden="1"/>
    <cellStyle name="Link" xfId="185" builtinId="8" hidden="1"/>
    <cellStyle name="Link" xfId="187" builtinId="8" hidden="1"/>
    <cellStyle name="Link" xfId="189" builtinId="8" hidden="1"/>
    <cellStyle name="Link" xfId="191" builtinId="8" hidden="1"/>
    <cellStyle name="Link" xfId="193" builtinId="8" hidden="1"/>
    <cellStyle name="Link" xfId="195" builtinId="8" hidden="1"/>
    <cellStyle name="Link" xfId="197" builtinId="8" hidden="1"/>
    <cellStyle name="Link" xfId="199" builtinId="8" hidden="1"/>
    <cellStyle name="Link" xfId="201" builtinId="8" hidden="1"/>
    <cellStyle name="Link" xfId="203" builtinId="8" hidden="1"/>
    <cellStyle name="Link" xfId="205" builtinId="8" hidden="1"/>
    <cellStyle name="Link" xfId="207" builtinId="8" hidden="1"/>
    <cellStyle name="Link" xfId="209" builtinId="8" hidden="1"/>
    <cellStyle name="Link" xfId="211" builtinId="8" hidden="1"/>
    <cellStyle name="Link" xfId="213" builtinId="8" hidden="1"/>
    <cellStyle name="Link" xfId="215" builtinId="8" hidden="1"/>
    <cellStyle name="Link" xfId="217" builtinId="8" hidden="1"/>
    <cellStyle name="Link" xfId="219" builtinId="8" hidden="1"/>
    <cellStyle name="Link" xfId="221" builtinId="8" hidden="1"/>
    <cellStyle name="Link" xfId="223" builtinId="8" hidden="1"/>
    <cellStyle name="Link" xfId="225" builtinId="8" hidden="1"/>
    <cellStyle name="Link" xfId="227" builtinId="8" hidden="1"/>
    <cellStyle name="Link" xfId="229" builtinId="8" hidden="1"/>
    <cellStyle name="Link" xfId="231" builtinId="8" hidden="1"/>
    <cellStyle name="Link" xfId="233" builtinId="8" hidden="1"/>
    <cellStyle name="Link" xfId="235" builtinId="8" hidden="1"/>
    <cellStyle name="Link" xfId="237" builtinId="8" hidden="1"/>
    <cellStyle name="Link" xfId="239" builtinId="8" hidden="1"/>
    <cellStyle name="Link" xfId="241" builtinId="8" hidden="1"/>
    <cellStyle name="Link" xfId="243" builtinId="8" hidden="1"/>
    <cellStyle name="Link" xfId="245" builtinId="8" hidden="1"/>
    <cellStyle name="Link" xfId="247" builtinId="8" hidden="1"/>
    <cellStyle name="Link" xfId="249" builtinId="8" hidden="1"/>
    <cellStyle name="Link" xfId="251" builtinId="8" hidden="1"/>
    <cellStyle name="Link" xfId="253" builtinId="8" hidden="1"/>
    <cellStyle name="Link" xfId="255" builtinId="8" hidden="1"/>
    <cellStyle name="Link" xfId="257" builtinId="8" hidden="1"/>
    <cellStyle name="Link" xfId="259" builtinId="8" hidden="1"/>
    <cellStyle name="Link" xfId="261" builtinId="8" hidden="1"/>
    <cellStyle name="Link" xfId="263" builtinId="8" hidden="1"/>
    <cellStyle name="Link" xfId="265" builtinId="8" hidden="1"/>
    <cellStyle name="Link" xfId="267" builtinId="8" hidden="1"/>
    <cellStyle name="Link" xfId="269" builtinId="8" hidden="1"/>
    <cellStyle name="Link" xfId="271" builtinId="8" hidden="1"/>
    <cellStyle name="Link" xfId="273" builtinId="8" hidden="1"/>
    <cellStyle name="Link" xfId="275" builtinId="8" hidden="1"/>
    <cellStyle name="Link" xfId="277" builtinId="8" hidden="1"/>
    <cellStyle name="Link" xfId="279" builtinId="8" hidden="1"/>
    <cellStyle name="Link" xfId="281" builtinId="8" hidden="1"/>
    <cellStyle name="Link" xfId="283" builtinId="8" hidden="1"/>
    <cellStyle name="Link" xfId="285" builtinId="8" hidden="1"/>
    <cellStyle name="Link" xfId="287" builtinId="8" hidden="1"/>
    <cellStyle name="Link" xfId="289" builtinId="8" hidden="1"/>
    <cellStyle name="Link" xfId="291" builtinId="8" hidden="1"/>
    <cellStyle name="Link" xfId="293" builtinId="8" hidden="1"/>
    <cellStyle name="Link" xfId="295" builtinId="8" hidden="1"/>
    <cellStyle name="Link" xfId="297" builtinId="8" hidden="1"/>
    <cellStyle name="Link" xfId="299" builtinId="8" hidden="1"/>
    <cellStyle name="Link" xfId="301" builtinId="8" hidden="1"/>
    <cellStyle name="Link" xfId="303" builtinId="8" hidden="1"/>
    <cellStyle name="Link" xfId="305" builtinId="8" hidden="1"/>
    <cellStyle name="Link" xfId="307" builtinId="8" hidden="1"/>
    <cellStyle name="Link" xfId="309" builtinId="8" hidden="1"/>
    <cellStyle name="Link" xfId="311" builtinId="8" hidden="1"/>
    <cellStyle name="Link" xfId="313" builtinId="8" hidden="1"/>
    <cellStyle name="Link" xfId="315" builtinId="8" hidden="1"/>
    <cellStyle name="Link" xfId="317" builtinId="8" hidden="1"/>
    <cellStyle name="Link" xfId="319" builtinId="8" hidden="1"/>
    <cellStyle name="Link" xfId="321" builtinId="8" hidden="1"/>
    <cellStyle name="Link" xfId="323" builtinId="8" hidden="1"/>
    <cellStyle name="Link" xfId="325" builtinId="8" hidden="1"/>
    <cellStyle name="Link" xfId="327" builtinId="8" hidden="1"/>
    <cellStyle name="Link" xfId="329" builtinId="8" hidden="1"/>
    <cellStyle name="Link" xfId="331" builtinId="8" hidden="1"/>
    <cellStyle name="Link" xfId="333" builtinId="8" hidden="1"/>
    <cellStyle name="Link" xfId="335" builtinId="8" hidden="1"/>
    <cellStyle name="Link" xfId="337" builtinId="8" hidden="1"/>
    <cellStyle name="Link" xfId="339" builtinId="8" hidden="1"/>
    <cellStyle name="Link" xfId="341" builtinId="8" hidden="1"/>
    <cellStyle name="Link" xfId="343" builtinId="8" hidden="1"/>
    <cellStyle name="Link" xfId="345" builtinId="8" hidden="1"/>
    <cellStyle name="Link" xfId="347" builtinId="8" hidden="1"/>
    <cellStyle name="Link" xfId="349" builtinId="8" hidden="1"/>
    <cellStyle name="Link" xfId="351" builtinId="8" hidden="1"/>
    <cellStyle name="Link" xfId="353" builtinId="8" hidden="1"/>
    <cellStyle name="Link" xfId="355" builtinId="8" hidden="1"/>
    <cellStyle name="Link" xfId="357" builtinId="8" hidden="1"/>
    <cellStyle name="Link" xfId="359" builtinId="8" hidden="1"/>
    <cellStyle name="Link" xfId="361" builtinId="8" hidden="1"/>
    <cellStyle name="Link" xfId="363" builtinId="8" hidden="1"/>
    <cellStyle name="Link" xfId="365" builtinId="8" hidden="1"/>
    <cellStyle name="Link" xfId="367" builtinId="8" hidden="1"/>
    <cellStyle name="Link" xfId="369" builtinId="8" hidden="1"/>
    <cellStyle name="Link" xfId="371" builtinId="8" hidden="1"/>
    <cellStyle name="Link" xfId="373" builtinId="8" hidden="1"/>
    <cellStyle name="Link" xfId="375" builtinId="8" hidden="1"/>
    <cellStyle name="Link" xfId="377" builtinId="8" hidden="1"/>
    <cellStyle name="Link" xfId="379" builtinId="8" hidden="1"/>
    <cellStyle name="Link" xfId="381" builtinId="8" hidden="1"/>
    <cellStyle name="Link" xfId="383" builtinId="8" hidden="1"/>
    <cellStyle name="Link" xfId="385" builtinId="8" hidden="1"/>
    <cellStyle name="Link" xfId="387" builtinId="8" hidden="1"/>
    <cellStyle name="Link" xfId="389" builtinId="8" hidden="1"/>
    <cellStyle name="Link" xfId="391" builtinId="8" hidden="1"/>
    <cellStyle name="Link" xfId="393" builtinId="8" hidden="1"/>
    <cellStyle name="Link" xfId="395" builtinId="8" hidden="1"/>
    <cellStyle name="Link" xfId="397" builtinId="8" hidden="1"/>
    <cellStyle name="Link" xfId="401" builtinId="8" hidden="1"/>
    <cellStyle name="Link" xfId="403" builtinId="8" hidden="1"/>
    <cellStyle name="Link" xfId="405" builtinId="8" hidden="1"/>
    <cellStyle name="Link" xfId="407" builtinId="8" hidden="1"/>
    <cellStyle name="Link" xfId="409" builtinId="8" hidden="1"/>
    <cellStyle name="Link" xfId="411" builtinId="8" hidden="1"/>
    <cellStyle name="Link" xfId="413" builtinId="8" hidden="1"/>
    <cellStyle name="Link" xfId="415" builtinId="8" hidden="1"/>
    <cellStyle name="Link" xfId="417" builtinId="8" hidden="1"/>
    <cellStyle name="Link" xfId="419" builtinId="8" hidden="1"/>
    <cellStyle name="Link" xfId="421" builtinId="8" hidden="1"/>
    <cellStyle name="Link" xfId="423" builtinId="8" hidden="1"/>
    <cellStyle name="Link" xfId="425" builtinId="8" hidden="1"/>
    <cellStyle name="Link" xfId="427" builtinId="8" hidden="1"/>
    <cellStyle name="Link" xfId="429" builtinId="8" hidden="1"/>
    <cellStyle name="Link" xfId="431" builtinId="8" hidden="1"/>
    <cellStyle name="Normal 2" xfId="400"/>
    <cellStyle name="Normal 3" xfId="399"/>
    <cellStyle name="Normal_D4-9-12-Th-SEM-Neptune" xfId="2"/>
    <cellStyle name="Normal_ICP-Dating" xfId="3"/>
    <cellStyle name="Normal_Neptune-Data-B-II-U" xfId="4"/>
    <cellStyle name="Stand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47</xdr:row>
          <xdr:rowOff>133350</xdr:rowOff>
        </xdr:from>
        <xdr:to>
          <xdr:col>7</xdr:col>
          <xdr:colOff>1295400</xdr:colOff>
          <xdr:row>51</xdr:row>
          <xdr:rowOff>38100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1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200" b="0" i="0" u="none" strike="noStrike" baseline="0">
                  <a:solidFill>
                    <a:srgbClr val="008000"/>
                  </a:solidFill>
                  <a:latin typeface="Century Gothic"/>
                </a:rPr>
                <a:t>press to</a:t>
              </a:r>
              <a:endParaRPr lang="de-AT" sz="1200" b="1" i="0" u="none" strike="noStrike" baseline="0">
                <a:solidFill>
                  <a:srgbClr val="008000"/>
                </a:solidFill>
                <a:latin typeface="Tms Rmn"/>
              </a:endParaRPr>
            </a:p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8000"/>
                  </a:solidFill>
                  <a:latin typeface="Book Antiqua"/>
                </a:rPr>
                <a:t>calculate 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238125</xdr:colOff>
      <xdr:row>3</xdr:row>
      <xdr:rowOff>19050</xdr:rowOff>
    </xdr:from>
    <xdr:to>
      <xdr:col>6</xdr:col>
      <xdr:colOff>152400</xdr:colOff>
      <xdr:row>4</xdr:row>
      <xdr:rowOff>142875</xdr:rowOff>
    </xdr:to>
    <xdr:sp macro="[0]!Copy_Th_Ratios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5165725" y="501650"/>
          <a:ext cx="739775" cy="288925"/>
        </a:xfrm>
        <a:prstGeom prst="ellipse">
          <a:avLst/>
        </a:prstGeom>
        <a:solidFill>
          <a:srgbClr val="FFFF00"/>
        </a:solidFill>
        <a:ln w="19050">
          <a:round/>
          <a:headEnd/>
          <a:tailEnd/>
        </a:ln>
        <a:effectLst/>
        <a:scene3d>
          <a:camera prst="legacyPerspectiveTopRight"/>
          <a:lightRig rig="legacyFlat3" dir="b"/>
        </a:scene3d>
        <a:sp3d extrusionH="887400" prstMaterial="legacyMatte">
          <a:bevelT w="13500" h="13500" prst="angle"/>
          <a:bevelB w="13500" h="13500" prst="angle"/>
          <a:extrusionClr>
            <a:srgbClr val="FFFF00"/>
          </a:extrusionClr>
        </a:sp3d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Copy</a:t>
          </a:r>
        </a:p>
      </xdr:txBody>
    </xdr:sp>
    <xdr:clientData/>
  </xdr:twoCellAnchor>
  <xdr:twoCellAnchor>
    <xdr:from>
      <xdr:col>5</xdr:col>
      <xdr:colOff>238125</xdr:colOff>
      <xdr:row>6</xdr:row>
      <xdr:rowOff>19050</xdr:rowOff>
    </xdr:from>
    <xdr:to>
      <xdr:col>6</xdr:col>
      <xdr:colOff>161925</xdr:colOff>
      <xdr:row>7</xdr:row>
      <xdr:rowOff>142875</xdr:rowOff>
    </xdr:to>
    <xdr:sp macro="[0]!Th_ICPFilter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5165725" y="996950"/>
          <a:ext cx="749300" cy="288925"/>
        </a:xfrm>
        <a:prstGeom prst="ellipse">
          <a:avLst/>
        </a:prstGeom>
        <a:solidFill>
          <a:srgbClr val="FFFF00"/>
        </a:solidFill>
        <a:ln w="19050">
          <a:round/>
          <a:headEnd/>
          <a:tailEnd/>
        </a:ln>
        <a:effectLst/>
        <a:scene3d>
          <a:camera prst="legacyPerspectiveTopRight"/>
          <a:lightRig rig="legacyFlat3" dir="b"/>
        </a:scene3d>
        <a:sp3d extrusionH="887400" prstMaterial="legacyMatte">
          <a:bevelT w="13500" h="13500" prst="angle"/>
          <a:bevelB w="13500" h="13500" prst="angle"/>
          <a:extrusionClr>
            <a:srgbClr val="FFFF00"/>
          </a:extrusionClr>
        </a:sp3d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Filter</a:t>
          </a:r>
        </a:p>
      </xdr:txBody>
    </xdr:sp>
    <xdr:clientData/>
  </xdr:twoCellAnchor>
  <xdr:twoCellAnchor>
    <xdr:from>
      <xdr:col>5</xdr:col>
      <xdr:colOff>238125</xdr:colOff>
      <xdr:row>9</xdr:row>
      <xdr:rowOff>66675</xdr:rowOff>
    </xdr:from>
    <xdr:to>
      <xdr:col>6</xdr:col>
      <xdr:colOff>161925</xdr:colOff>
      <xdr:row>11</xdr:row>
      <xdr:rowOff>28575</xdr:rowOff>
    </xdr:to>
    <xdr:sp macro="[0]!BackCopy_Th_Ratios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5165725" y="1527175"/>
          <a:ext cx="749300" cy="266700"/>
        </a:xfrm>
        <a:prstGeom prst="ellipse">
          <a:avLst/>
        </a:prstGeom>
        <a:solidFill>
          <a:srgbClr val="FFFF00"/>
        </a:solidFill>
        <a:ln w="19050">
          <a:round/>
          <a:headEnd/>
          <a:tailEnd/>
        </a:ln>
        <a:effectLst/>
        <a:scene3d>
          <a:camera prst="legacyPerspectiveTopRight"/>
          <a:lightRig rig="legacyFlat3" dir="b"/>
        </a:scene3d>
        <a:sp3d extrusionH="887400" prstMaterial="legacyMatte">
          <a:bevelT w="13500" h="13500" prst="angle"/>
          <a:bevelB w="13500" h="13500" prst="angle"/>
          <a:extrusionClr>
            <a:srgbClr val="FFFF00"/>
          </a:extrusionClr>
        </a:sp3d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4</xdr:col>
      <xdr:colOff>666750</xdr:colOff>
      <xdr:row>12</xdr:row>
      <xdr:rowOff>114300</xdr:rowOff>
    </xdr:from>
    <xdr:to>
      <xdr:col>6</xdr:col>
      <xdr:colOff>523875</xdr:colOff>
      <xdr:row>14</xdr:row>
      <xdr:rowOff>47625</xdr:rowOff>
    </xdr:to>
    <xdr:sp macro="[0]!Standard_Th_Filter" textlink="">
      <xdr:nvSpPr>
        <xdr:cNvPr id="5" name="AutoShap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4883150" y="2032000"/>
          <a:ext cx="1393825" cy="238125"/>
        </a:xfrm>
        <a:prstGeom prst="bevel">
          <a:avLst>
            <a:gd name="adj" fmla="val 12500"/>
          </a:avLst>
        </a:prstGeom>
        <a:solidFill>
          <a:srgbClr val="3366FF"/>
        </a:solidFill>
        <a:ln w="9525">
          <a:solidFill>
            <a:srgbClr val="00008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FF00"/>
              </a:solidFill>
              <a:latin typeface="Arial"/>
              <a:cs typeface="Arial"/>
            </a:rPr>
            <a:t>Standard Filter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30</xdr:row>
      <xdr:rowOff>38100</xdr:rowOff>
    </xdr:from>
    <xdr:to>
      <xdr:col>0</xdr:col>
      <xdr:colOff>952500</xdr:colOff>
      <xdr:row>32</xdr:row>
      <xdr:rowOff>0</xdr:rowOff>
    </xdr:to>
    <xdr:sp macro="[0]!Copy_U_Ratios" textlink="">
      <xdr:nvSpPr>
        <xdr:cNvPr id="449537" name="Oval 1">
          <a:extLst>
            <a:ext uri="{FF2B5EF4-FFF2-40B4-BE49-F238E27FC236}">
              <a16:creationId xmlns:a16="http://schemas.microsoft.com/office/drawing/2014/main" id="{00000000-0008-0000-0300-000001DC0600}"/>
            </a:ext>
          </a:extLst>
        </xdr:cNvPr>
        <xdr:cNvSpPr>
          <a:spLocks noChangeArrowheads="1"/>
        </xdr:cNvSpPr>
      </xdr:nvSpPr>
      <xdr:spPr bwMode="auto">
        <a:xfrm>
          <a:off x="180975" y="4933950"/>
          <a:ext cx="771525" cy="285750"/>
        </a:xfrm>
        <a:prstGeom prst="ellipse">
          <a:avLst/>
        </a:prstGeom>
        <a:solidFill>
          <a:srgbClr val="FFFF00"/>
        </a:solidFill>
        <a:ln w="19050">
          <a:round/>
          <a:headEnd/>
          <a:tailEnd/>
        </a:ln>
        <a:effectLst/>
        <a:scene3d>
          <a:camera prst="legacyPerspectiveTopRight"/>
          <a:lightRig rig="legacyFlat3" dir="b"/>
        </a:scene3d>
        <a:sp3d extrusionH="887400" prstMaterial="legacyMatte">
          <a:bevelT w="13500" h="13500" prst="angle"/>
          <a:bevelB w="13500" h="13500" prst="angle"/>
          <a:extrusionClr>
            <a:srgbClr val="FFFF00"/>
          </a:extrusionClr>
        </a:sp3d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Copy</a:t>
          </a:r>
        </a:p>
      </xdr:txBody>
    </xdr:sp>
    <xdr:clientData/>
  </xdr:twoCellAnchor>
  <xdr:twoCellAnchor>
    <xdr:from>
      <xdr:col>1</xdr:col>
      <xdr:colOff>66675</xdr:colOff>
      <xdr:row>30</xdr:row>
      <xdr:rowOff>0</xdr:rowOff>
    </xdr:from>
    <xdr:to>
      <xdr:col>1</xdr:col>
      <xdr:colOff>800100</xdr:colOff>
      <xdr:row>31</xdr:row>
      <xdr:rowOff>123825</xdr:rowOff>
    </xdr:to>
    <xdr:sp macro="[0]!U_ICPFilter" textlink="">
      <xdr:nvSpPr>
        <xdr:cNvPr id="449538" name="Oval 2">
          <a:extLst>
            <a:ext uri="{FF2B5EF4-FFF2-40B4-BE49-F238E27FC236}">
              <a16:creationId xmlns:a16="http://schemas.microsoft.com/office/drawing/2014/main" id="{00000000-0008-0000-0300-000002DC0600}"/>
            </a:ext>
          </a:extLst>
        </xdr:cNvPr>
        <xdr:cNvSpPr>
          <a:spLocks noChangeArrowheads="1"/>
        </xdr:cNvSpPr>
      </xdr:nvSpPr>
      <xdr:spPr bwMode="auto">
        <a:xfrm>
          <a:off x="1295400" y="4895850"/>
          <a:ext cx="733425" cy="285750"/>
        </a:xfrm>
        <a:prstGeom prst="ellipse">
          <a:avLst/>
        </a:prstGeom>
        <a:solidFill>
          <a:srgbClr val="FFFF00"/>
        </a:solidFill>
        <a:ln w="19050">
          <a:round/>
          <a:headEnd/>
          <a:tailEnd/>
        </a:ln>
        <a:effectLst/>
        <a:scene3d>
          <a:camera prst="legacyPerspectiveTopRight"/>
          <a:lightRig rig="legacyFlat3" dir="b"/>
        </a:scene3d>
        <a:sp3d extrusionH="887400" prstMaterial="legacyMatte">
          <a:bevelT w="13500" h="13500" prst="angle"/>
          <a:bevelB w="13500" h="13500" prst="angle"/>
          <a:extrusionClr>
            <a:srgbClr val="FFFF00"/>
          </a:extrusionClr>
        </a:sp3d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Filter</a:t>
          </a:r>
        </a:p>
      </xdr:txBody>
    </xdr:sp>
    <xdr:clientData/>
  </xdr:twoCellAnchor>
  <xdr:twoCellAnchor>
    <xdr:from>
      <xdr:col>2</xdr:col>
      <xdr:colOff>9525</xdr:colOff>
      <xdr:row>30</xdr:row>
      <xdr:rowOff>9525</xdr:rowOff>
    </xdr:from>
    <xdr:to>
      <xdr:col>2</xdr:col>
      <xdr:colOff>762000</xdr:colOff>
      <xdr:row>31</xdr:row>
      <xdr:rowOff>133350</xdr:rowOff>
    </xdr:to>
    <xdr:sp macro="[0]!BackCopy_U_Ratios" textlink="">
      <xdr:nvSpPr>
        <xdr:cNvPr id="449539" name="Oval 3">
          <a:extLst>
            <a:ext uri="{FF2B5EF4-FFF2-40B4-BE49-F238E27FC236}">
              <a16:creationId xmlns:a16="http://schemas.microsoft.com/office/drawing/2014/main" id="{00000000-0008-0000-0300-000003DC0600}"/>
            </a:ext>
          </a:extLst>
        </xdr:cNvPr>
        <xdr:cNvSpPr>
          <a:spLocks noChangeArrowheads="1"/>
        </xdr:cNvSpPr>
      </xdr:nvSpPr>
      <xdr:spPr bwMode="auto">
        <a:xfrm>
          <a:off x="2333625" y="4905375"/>
          <a:ext cx="752475" cy="285750"/>
        </a:xfrm>
        <a:prstGeom prst="ellipse">
          <a:avLst/>
        </a:prstGeom>
        <a:solidFill>
          <a:srgbClr val="FFFF00"/>
        </a:solidFill>
        <a:ln w="19050">
          <a:round/>
          <a:headEnd/>
          <a:tailEnd/>
        </a:ln>
        <a:effectLst/>
        <a:scene3d>
          <a:camera prst="legacyPerspectiveTopRight"/>
          <a:lightRig rig="legacyFlat3" dir="b"/>
        </a:scene3d>
        <a:sp3d extrusionH="887400" prstMaterial="legacyMatte">
          <a:bevelT w="13500" h="13500" prst="angle"/>
          <a:bevelB w="13500" h="13500" prst="angle"/>
          <a:extrusionClr>
            <a:srgbClr val="FFFF00"/>
          </a:extrusionClr>
        </a:sp3d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2</xdr:col>
      <xdr:colOff>142875</xdr:colOff>
      <xdr:row>19</xdr:row>
      <xdr:rowOff>142875</xdr:rowOff>
    </xdr:from>
    <xdr:to>
      <xdr:col>3</xdr:col>
      <xdr:colOff>704850</xdr:colOff>
      <xdr:row>21</xdr:row>
      <xdr:rowOff>76200</xdr:rowOff>
    </xdr:to>
    <xdr:sp macro="[0]!Standard_U_Filter" textlink="">
      <xdr:nvSpPr>
        <xdr:cNvPr id="449540" name="AutoShape 4">
          <a:extLst>
            <a:ext uri="{FF2B5EF4-FFF2-40B4-BE49-F238E27FC236}">
              <a16:creationId xmlns:a16="http://schemas.microsoft.com/office/drawing/2014/main" id="{00000000-0008-0000-0300-000004DC0600}"/>
            </a:ext>
          </a:extLst>
        </xdr:cNvPr>
        <xdr:cNvSpPr>
          <a:spLocks noChangeArrowheads="1"/>
        </xdr:cNvSpPr>
      </xdr:nvSpPr>
      <xdr:spPr bwMode="auto">
        <a:xfrm>
          <a:off x="2466975" y="3219450"/>
          <a:ext cx="1400175" cy="257175"/>
        </a:xfrm>
        <a:prstGeom prst="bevel">
          <a:avLst>
            <a:gd name="adj" fmla="val 12500"/>
          </a:avLst>
        </a:prstGeom>
        <a:solidFill>
          <a:srgbClr val="99CC00"/>
        </a:solidFill>
        <a:ln w="9525">
          <a:solidFill>
            <a:srgbClr val="339933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Standard Filter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30</xdr:row>
      <xdr:rowOff>38100</xdr:rowOff>
    </xdr:from>
    <xdr:to>
      <xdr:col>0</xdr:col>
      <xdr:colOff>952500</xdr:colOff>
      <xdr:row>32</xdr:row>
      <xdr:rowOff>0</xdr:rowOff>
    </xdr:to>
    <xdr:sp macro="[0]!Copy_U_Ratios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180975" y="5016500"/>
          <a:ext cx="771525" cy="292100"/>
        </a:xfrm>
        <a:prstGeom prst="ellipse">
          <a:avLst/>
        </a:prstGeom>
        <a:solidFill>
          <a:srgbClr val="FFFF00"/>
        </a:solidFill>
        <a:ln w="19050">
          <a:round/>
          <a:headEnd/>
          <a:tailEnd/>
        </a:ln>
        <a:effectLst/>
        <a:scene3d>
          <a:camera prst="legacyPerspectiveTopRight"/>
          <a:lightRig rig="legacyFlat3" dir="b"/>
        </a:scene3d>
        <a:sp3d extrusionH="887400" prstMaterial="legacyMatte">
          <a:bevelT w="13500" h="13500" prst="angle"/>
          <a:bevelB w="13500" h="13500" prst="angle"/>
          <a:extrusionClr>
            <a:srgbClr val="FFFF00"/>
          </a:extrusionClr>
        </a:sp3d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Copy</a:t>
          </a:r>
        </a:p>
      </xdr:txBody>
    </xdr:sp>
    <xdr:clientData/>
  </xdr:twoCellAnchor>
  <xdr:twoCellAnchor>
    <xdr:from>
      <xdr:col>1</xdr:col>
      <xdr:colOff>66675</xdr:colOff>
      <xdr:row>30</xdr:row>
      <xdr:rowOff>0</xdr:rowOff>
    </xdr:from>
    <xdr:to>
      <xdr:col>1</xdr:col>
      <xdr:colOff>800100</xdr:colOff>
      <xdr:row>31</xdr:row>
      <xdr:rowOff>123825</xdr:rowOff>
    </xdr:to>
    <xdr:sp macro="[0]!U_ICPFilter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1349375" y="4978400"/>
          <a:ext cx="733425" cy="288925"/>
        </a:xfrm>
        <a:prstGeom prst="ellipse">
          <a:avLst/>
        </a:prstGeom>
        <a:solidFill>
          <a:srgbClr val="FFFF00"/>
        </a:solidFill>
        <a:ln w="19050">
          <a:round/>
          <a:headEnd/>
          <a:tailEnd/>
        </a:ln>
        <a:effectLst/>
        <a:scene3d>
          <a:camera prst="legacyPerspectiveTopRight"/>
          <a:lightRig rig="legacyFlat3" dir="b"/>
        </a:scene3d>
        <a:sp3d extrusionH="887400" prstMaterial="legacyMatte">
          <a:bevelT w="13500" h="13500" prst="angle"/>
          <a:bevelB w="13500" h="13500" prst="angle"/>
          <a:extrusionClr>
            <a:srgbClr val="FFFF00"/>
          </a:extrusionClr>
        </a:sp3d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Filter</a:t>
          </a:r>
        </a:p>
      </xdr:txBody>
    </xdr:sp>
    <xdr:clientData/>
  </xdr:twoCellAnchor>
  <xdr:twoCellAnchor>
    <xdr:from>
      <xdr:col>2</xdr:col>
      <xdr:colOff>9525</xdr:colOff>
      <xdr:row>30</xdr:row>
      <xdr:rowOff>9525</xdr:rowOff>
    </xdr:from>
    <xdr:to>
      <xdr:col>2</xdr:col>
      <xdr:colOff>762000</xdr:colOff>
      <xdr:row>31</xdr:row>
      <xdr:rowOff>133350</xdr:rowOff>
    </xdr:to>
    <xdr:sp macro="[0]!BackCopy_U_Ratios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2397125" y="4987925"/>
          <a:ext cx="752475" cy="288925"/>
        </a:xfrm>
        <a:prstGeom prst="ellipse">
          <a:avLst/>
        </a:prstGeom>
        <a:solidFill>
          <a:srgbClr val="FFFF00"/>
        </a:solidFill>
        <a:ln w="19050">
          <a:round/>
          <a:headEnd/>
          <a:tailEnd/>
        </a:ln>
        <a:effectLst/>
        <a:scene3d>
          <a:camera prst="legacyPerspectiveTopRight"/>
          <a:lightRig rig="legacyFlat3" dir="b"/>
        </a:scene3d>
        <a:sp3d extrusionH="887400" prstMaterial="legacyMatte">
          <a:bevelT w="13500" h="13500" prst="angle"/>
          <a:bevelB w="13500" h="13500" prst="angle"/>
          <a:extrusionClr>
            <a:srgbClr val="FFFF00"/>
          </a:extrusionClr>
        </a:sp3d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2</xdr:col>
      <xdr:colOff>142875</xdr:colOff>
      <xdr:row>19</xdr:row>
      <xdr:rowOff>142875</xdr:rowOff>
    </xdr:from>
    <xdr:to>
      <xdr:col>3</xdr:col>
      <xdr:colOff>704850</xdr:colOff>
      <xdr:row>21</xdr:row>
      <xdr:rowOff>76200</xdr:rowOff>
    </xdr:to>
    <xdr:sp macro="[0]!Standard_U_Filter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2530475" y="3279775"/>
          <a:ext cx="1412875" cy="263525"/>
        </a:xfrm>
        <a:prstGeom prst="bevel">
          <a:avLst>
            <a:gd name="adj" fmla="val 12500"/>
          </a:avLst>
        </a:prstGeom>
        <a:solidFill>
          <a:srgbClr val="99CC00"/>
        </a:solidFill>
        <a:ln w="9525">
          <a:solidFill>
            <a:srgbClr val="339933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Standard Filter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47</xdr:row>
          <xdr:rowOff>133350</xdr:rowOff>
        </xdr:from>
        <xdr:to>
          <xdr:col>7</xdr:col>
          <xdr:colOff>1295400</xdr:colOff>
          <xdr:row>51</xdr:row>
          <xdr:rowOff>38100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1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200" b="0" i="0" u="none" strike="noStrike" baseline="0">
                  <a:solidFill>
                    <a:srgbClr val="008000"/>
                  </a:solidFill>
                  <a:latin typeface="Century Gothic"/>
                </a:rPr>
                <a:t>press to</a:t>
              </a:r>
              <a:endParaRPr lang="de-AT" sz="1200" b="1" i="0" u="none" strike="noStrike" baseline="0">
                <a:solidFill>
                  <a:srgbClr val="008000"/>
                </a:solidFill>
                <a:latin typeface="Tms Rmn"/>
              </a:endParaRPr>
            </a:p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8000"/>
                  </a:solidFill>
                  <a:latin typeface="Book Antiqua"/>
                </a:rPr>
                <a:t>calculate 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00"/>
        </a:solidFill>
        <a:ln w="19050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PerspectiveTopRight"/>
          <a:lightRig rig="legacyFlat3" dir="b"/>
        </a:scene3d>
        <a:sp3d extrusionH="887400" prstMaterial="legacyMatte">
          <a:bevelT w="13500" h="13500" prst="angle"/>
          <a:bevelB w="13500" h="13500" prst="angle"/>
          <a:extrusionClr>
            <a:srgbClr val="FFFF00"/>
          </a:extrusionClr>
        </a:sp3d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00"/>
        </a:solidFill>
        <a:ln w="19050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PerspectiveTopRight"/>
          <a:lightRig rig="legacyFlat3" dir="b"/>
        </a:scene3d>
        <a:sp3d extrusionH="887400" prstMaterial="legacyMatte">
          <a:bevelT w="13500" h="13500" prst="angle"/>
          <a:bevelB w="13500" h="13500" prst="angle"/>
          <a:extrusionClr>
            <a:srgbClr val="FFFF00"/>
          </a:extrusionClr>
        </a:sp3d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T525"/>
  <sheetViews>
    <sheetView showGridLines="0" tabSelected="1" zoomScale="90" zoomScaleNormal="90" zoomScalePageLayoutView="90" workbookViewId="0">
      <selection activeCell="K7" sqref="K7:L17"/>
    </sheetView>
  </sheetViews>
  <sheetFormatPr baseColWidth="10" defaultColWidth="8.75" defaultRowHeight="12.75"/>
  <cols>
    <col min="1" max="1" width="1.25" customWidth="1"/>
    <col min="2" max="2" width="10.25" customWidth="1"/>
    <col min="3" max="3" width="6.25" customWidth="1"/>
    <col min="4" max="4" width="5" customWidth="1"/>
    <col min="5" max="5" width="7" customWidth="1"/>
    <col min="6" max="6" width="6.875" customWidth="1"/>
    <col min="7" max="7" width="7.75" customWidth="1"/>
    <col min="8" max="8" width="8" customWidth="1"/>
    <col min="9" max="9" width="6.25" bestFit="1" customWidth="1"/>
    <col min="10" max="10" width="3.75" customWidth="1"/>
    <col min="11" max="11" width="8" customWidth="1"/>
    <col min="12" max="13" width="8.25" customWidth="1"/>
    <col min="14" max="14" width="5.25" customWidth="1"/>
    <col min="15" max="15" width="7.25" customWidth="1"/>
    <col min="16" max="16" width="8" customWidth="1"/>
    <col min="17" max="17" width="5" customWidth="1"/>
    <col min="18" max="18" width="6.25" customWidth="1"/>
    <col min="19" max="19" width="7.25" customWidth="1"/>
    <col min="20" max="20" width="9.25" customWidth="1"/>
  </cols>
  <sheetData>
    <row r="2" spans="2:20" ht="19.5" customHeight="1">
      <c r="B2" s="183" t="s">
        <v>130</v>
      </c>
      <c r="C2" s="183"/>
    </row>
    <row r="3" spans="2:20" ht="16.5" customHeight="1">
      <c r="B3" s="182" t="s">
        <v>123</v>
      </c>
      <c r="C3" s="561" t="s">
        <v>124</v>
      </c>
      <c r="D3" s="559"/>
      <c r="E3" s="561" t="s">
        <v>125</v>
      </c>
      <c r="F3" s="561"/>
      <c r="G3" s="561" t="s">
        <v>135</v>
      </c>
      <c r="H3" s="561"/>
      <c r="I3" s="557" t="s">
        <v>131</v>
      </c>
      <c r="J3" s="557"/>
      <c r="K3" s="561" t="s">
        <v>132</v>
      </c>
      <c r="L3" s="561"/>
      <c r="M3" s="561" t="s">
        <v>126</v>
      </c>
      <c r="N3" s="561"/>
      <c r="O3" s="561" t="s">
        <v>126</v>
      </c>
      <c r="P3" s="561"/>
      <c r="Q3" s="557" t="s">
        <v>133</v>
      </c>
      <c r="R3" s="559"/>
      <c r="S3" s="562" t="s">
        <v>0</v>
      </c>
      <c r="T3" s="562"/>
    </row>
    <row r="4" spans="2:20">
      <c r="B4" s="181" t="s">
        <v>119</v>
      </c>
      <c r="C4" s="558" t="s">
        <v>120</v>
      </c>
      <c r="D4" s="560"/>
      <c r="E4" s="558" t="s">
        <v>121</v>
      </c>
      <c r="F4" s="558"/>
      <c r="G4" s="558" t="s">
        <v>134</v>
      </c>
      <c r="H4" s="558"/>
      <c r="I4" s="558" t="s">
        <v>127</v>
      </c>
      <c r="J4" s="558"/>
      <c r="K4" s="558" t="s">
        <v>128</v>
      </c>
      <c r="L4" s="558"/>
      <c r="M4" s="558" t="s">
        <v>122</v>
      </c>
      <c r="N4" s="558"/>
      <c r="O4" s="558" t="s">
        <v>129</v>
      </c>
      <c r="P4" s="558"/>
      <c r="Q4" s="558" t="s">
        <v>129</v>
      </c>
      <c r="R4" s="560"/>
      <c r="S4" s="563" t="s">
        <v>151</v>
      </c>
      <c r="T4" s="563"/>
    </row>
    <row r="5" spans="2:20" ht="6.75" customHeight="1">
      <c r="B5" s="184"/>
      <c r="S5" s="220"/>
      <c r="T5" s="220"/>
    </row>
    <row r="6" spans="2:20">
      <c r="B6" s="251" t="s">
        <v>246</v>
      </c>
      <c r="C6" s="186">
        <v>1225.9753852153769</v>
      </c>
      <c r="D6" s="187">
        <v>1.3212143128156024</v>
      </c>
      <c r="E6" s="188">
        <v>103604.38299295802</v>
      </c>
      <c r="F6" s="189">
        <v>2074.8864316293921</v>
      </c>
      <c r="G6" s="188">
        <v>107.12634811255391</v>
      </c>
      <c r="H6" s="189">
        <v>2.1493390313303955</v>
      </c>
      <c r="I6" s="186">
        <v>824.67946724757485</v>
      </c>
      <c r="J6" s="187">
        <v>2.2970182862025896</v>
      </c>
      <c r="K6" s="296">
        <v>0.54906910791597863</v>
      </c>
      <c r="L6" s="297">
        <v>8.9003566123166302E-4</v>
      </c>
      <c r="M6" s="188">
        <v>37958.316466967219</v>
      </c>
      <c r="N6" s="189">
        <v>91.712131944997836</v>
      </c>
      <c r="O6" s="191">
        <v>36667.340600571421</v>
      </c>
      <c r="P6" s="192">
        <v>918.36703756323982</v>
      </c>
      <c r="Q6" s="188">
        <v>914.58667478609311</v>
      </c>
      <c r="R6" s="189">
        <v>3.4796389488379598</v>
      </c>
      <c r="S6" s="396">
        <f>(O6-66)</f>
        <v>36601.340600571421</v>
      </c>
      <c r="T6" s="397">
        <f t="shared" ref="T6:T15" si="0">P6</f>
        <v>918.36703756323982</v>
      </c>
    </row>
    <row r="7" spans="2:20">
      <c r="B7" s="251" t="s">
        <v>253</v>
      </c>
      <c r="C7" s="186">
        <v>276.97886397324231</v>
      </c>
      <c r="D7" s="187">
        <v>20.787925292569199</v>
      </c>
      <c r="E7" s="188">
        <v>30450.224081578639</v>
      </c>
      <c r="F7" s="189">
        <v>2290.4541132192389</v>
      </c>
      <c r="G7" s="188">
        <v>123.32623150175689</v>
      </c>
      <c r="H7" s="189">
        <v>0.98412893751085551</v>
      </c>
      <c r="I7" s="186">
        <v>1123.89700300915</v>
      </c>
      <c r="J7" s="187">
        <v>3.484623815405381</v>
      </c>
      <c r="K7" s="296">
        <v>0.82230562949681207</v>
      </c>
      <c r="L7" s="297">
        <v>5.1055289063353156E-3</v>
      </c>
      <c r="M7" s="188"/>
      <c r="N7" s="189"/>
      <c r="O7" s="191"/>
      <c r="P7" s="192"/>
      <c r="Q7" s="188"/>
      <c r="R7" s="189"/>
      <c r="S7" s="396">
        <f t="shared" ref="S7:S15" si="1">(O7-66)</f>
        <v>-66</v>
      </c>
      <c r="T7" s="397">
        <f t="shared" si="0"/>
        <v>0</v>
      </c>
    </row>
    <row r="8" spans="2:20">
      <c r="B8" s="251" t="s">
        <v>254</v>
      </c>
      <c r="C8" s="186">
        <v>245.58049520491161</v>
      </c>
      <c r="D8" s="187">
        <v>18.429607327162518</v>
      </c>
      <c r="E8" s="188">
        <v>4426.9978995081156</v>
      </c>
      <c r="F8" s="189">
        <v>332.89283960389218</v>
      </c>
      <c r="G8" s="188">
        <v>798.30519085078606</v>
      </c>
      <c r="H8" s="189">
        <v>7.2437412994107433</v>
      </c>
      <c r="I8" s="186">
        <v>1077.8931676342011</v>
      </c>
      <c r="J8" s="187">
        <v>3.5845340322821579</v>
      </c>
      <c r="K8" s="296">
        <v>0.87280723507611646</v>
      </c>
      <c r="L8" s="297">
        <v>6.741018503994672E-3</v>
      </c>
      <c r="M8" s="188"/>
      <c r="N8" s="189"/>
      <c r="O8" s="191"/>
      <c r="P8" s="192"/>
      <c r="Q8" s="188"/>
      <c r="R8" s="189"/>
      <c r="S8" s="396">
        <f t="shared" si="1"/>
        <v>-66</v>
      </c>
      <c r="T8" s="397">
        <f t="shared" si="0"/>
        <v>0</v>
      </c>
    </row>
    <row r="9" spans="2:20">
      <c r="B9" s="251" t="s">
        <v>255</v>
      </c>
      <c r="C9" s="186">
        <v>202.9605817494577</v>
      </c>
      <c r="D9" s="187">
        <v>15.23313281268141</v>
      </c>
      <c r="E9" s="188">
        <v>776.44710949086789</v>
      </c>
      <c r="F9" s="189">
        <v>58.402620118709407</v>
      </c>
      <c r="G9" s="188">
        <v>4994.9717864680551</v>
      </c>
      <c r="H9" s="189">
        <v>53.986792214160907</v>
      </c>
      <c r="I9" s="186">
        <v>1056.015748282967</v>
      </c>
      <c r="J9" s="187">
        <v>5.3838984198254298</v>
      </c>
      <c r="K9" s="296">
        <v>1.1589565579700709</v>
      </c>
      <c r="L9" s="297">
        <v>1.113463618601746E-2</v>
      </c>
      <c r="M9" s="188"/>
      <c r="N9" s="189"/>
      <c r="O9" s="191"/>
      <c r="P9" s="192"/>
      <c r="Q9" s="188"/>
      <c r="R9" s="189"/>
      <c r="S9" s="396">
        <f t="shared" si="1"/>
        <v>-66</v>
      </c>
      <c r="T9" s="397">
        <f t="shared" si="0"/>
        <v>0</v>
      </c>
    </row>
    <row r="10" spans="2:20">
      <c r="B10" s="251" t="s">
        <v>256</v>
      </c>
      <c r="C10" s="186">
        <v>89.294431016516199</v>
      </c>
      <c r="D10" s="187">
        <v>6.7006163265014331</v>
      </c>
      <c r="E10" s="188">
        <v>1160.7842065907289</v>
      </c>
      <c r="F10" s="189">
        <v>87.180964757441558</v>
      </c>
      <c r="G10" s="188">
        <v>1320.0213465123411</v>
      </c>
      <c r="H10" s="189">
        <v>13.3846536910804</v>
      </c>
      <c r="I10" s="186">
        <v>689.39639456157556</v>
      </c>
      <c r="J10" s="187">
        <v>5.723174857271732</v>
      </c>
      <c r="K10" s="296">
        <v>1.0407394327383661</v>
      </c>
      <c r="L10" s="297">
        <v>1.003418378144711E-2</v>
      </c>
      <c r="M10" s="188"/>
      <c r="N10" s="189"/>
      <c r="O10" s="191"/>
      <c r="P10" s="192"/>
      <c r="Q10" s="188"/>
      <c r="R10" s="189"/>
      <c r="S10" s="396">
        <f t="shared" si="1"/>
        <v>-66</v>
      </c>
      <c r="T10" s="397">
        <f t="shared" si="0"/>
        <v>0</v>
      </c>
    </row>
    <row r="11" spans="2:20">
      <c r="B11" s="251" t="s">
        <v>257</v>
      </c>
      <c r="C11" s="186">
        <v>262.11075352595611</v>
      </c>
      <c r="D11" s="187">
        <v>19.677706379581981</v>
      </c>
      <c r="E11" s="188">
        <v>48389.515271354037</v>
      </c>
      <c r="F11" s="189">
        <v>3656.846784184645</v>
      </c>
      <c r="G11" s="188">
        <v>45.98437844274423</v>
      </c>
      <c r="H11" s="189">
        <v>0.47652549993696552</v>
      </c>
      <c r="I11" s="186">
        <v>159.86687343078</v>
      </c>
      <c r="J11" s="187">
        <v>2.3639074893371959</v>
      </c>
      <c r="K11" s="296">
        <v>0.51488553686685379</v>
      </c>
      <c r="L11" s="297">
        <v>2.9357511289441608E-3</v>
      </c>
      <c r="M11" s="188"/>
      <c r="N11" s="189"/>
      <c r="O11" s="191"/>
      <c r="P11" s="192"/>
      <c r="Q11" s="188"/>
      <c r="R11" s="189"/>
      <c r="S11" s="396">
        <f t="shared" si="1"/>
        <v>-66</v>
      </c>
      <c r="T11" s="397">
        <f t="shared" si="0"/>
        <v>0</v>
      </c>
    </row>
    <row r="12" spans="2:20">
      <c r="B12" s="251" t="s">
        <v>258</v>
      </c>
      <c r="C12" s="186">
        <v>161.05728009706431</v>
      </c>
      <c r="D12" s="187">
        <v>12.094868206722531</v>
      </c>
      <c r="E12" s="188">
        <v>46731.410427100484</v>
      </c>
      <c r="F12" s="189">
        <v>3537.0484197827918</v>
      </c>
      <c r="G12" s="188">
        <v>35.043359123615147</v>
      </c>
      <c r="H12" s="189">
        <v>0.48706287107841051</v>
      </c>
      <c r="I12" s="186">
        <v>155.41306044887679</v>
      </c>
      <c r="J12" s="187">
        <v>5.7363395248533289</v>
      </c>
      <c r="K12" s="296">
        <v>0.61669183296967611</v>
      </c>
      <c r="L12" s="297">
        <v>6.2855184994299561E-3</v>
      </c>
      <c r="M12" s="188"/>
      <c r="N12" s="189"/>
      <c r="O12" s="191"/>
      <c r="P12" s="192"/>
      <c r="Q12" s="188"/>
      <c r="R12" s="189"/>
      <c r="S12" s="396">
        <f t="shared" si="1"/>
        <v>-66</v>
      </c>
      <c r="T12" s="397">
        <f t="shared" si="0"/>
        <v>0</v>
      </c>
    </row>
    <row r="13" spans="2:20">
      <c r="B13" s="251" t="s">
        <v>259</v>
      </c>
      <c r="C13" s="186">
        <v>198.220695922207</v>
      </c>
      <c r="D13" s="187">
        <v>14.874196622324421</v>
      </c>
      <c r="E13" s="188">
        <v>138555.27804614819</v>
      </c>
      <c r="F13" s="189">
        <v>10409.20659021069</v>
      </c>
      <c r="G13" s="188">
        <v>17.582480814741871</v>
      </c>
      <c r="H13" s="189">
        <v>0.16212296972478679</v>
      </c>
      <c r="I13" s="186">
        <v>143.18727662154609</v>
      </c>
      <c r="J13" s="187">
        <v>5.1509338066394008</v>
      </c>
      <c r="K13" s="296">
        <v>0.74539790731678734</v>
      </c>
      <c r="L13" s="297">
        <v>6.3152605561168796E-3</v>
      </c>
      <c r="M13" s="188"/>
      <c r="N13" s="189"/>
      <c r="O13" s="191"/>
      <c r="P13" s="192"/>
      <c r="Q13" s="188"/>
      <c r="R13" s="189"/>
      <c r="S13" s="396">
        <f t="shared" si="1"/>
        <v>-66</v>
      </c>
      <c r="T13" s="397">
        <f t="shared" si="0"/>
        <v>0</v>
      </c>
    </row>
    <row r="14" spans="2:20">
      <c r="B14" s="251" t="s">
        <v>260</v>
      </c>
      <c r="C14" s="186">
        <v>282.06833672105068</v>
      </c>
      <c r="D14" s="187">
        <v>21.180192387717781</v>
      </c>
      <c r="E14" s="188">
        <v>19035.024598310942</v>
      </c>
      <c r="F14" s="189">
        <v>1442.645030331809</v>
      </c>
      <c r="G14" s="188">
        <v>177.1702429183575</v>
      </c>
      <c r="H14" s="189">
        <v>2.897814133231591</v>
      </c>
      <c r="I14" s="186">
        <v>572.18803891076902</v>
      </c>
      <c r="J14" s="187">
        <v>2.4527937474651549</v>
      </c>
      <c r="K14" s="296">
        <v>0.72514327667812484</v>
      </c>
      <c r="L14" s="297">
        <v>9.2264700161926155E-3</v>
      </c>
      <c r="M14" s="188"/>
      <c r="N14" s="189"/>
      <c r="O14" s="191"/>
      <c r="P14" s="192"/>
      <c r="Q14" s="188"/>
      <c r="R14" s="189"/>
      <c r="S14" s="396">
        <f t="shared" si="1"/>
        <v>-66</v>
      </c>
      <c r="T14" s="397">
        <f t="shared" si="0"/>
        <v>0</v>
      </c>
    </row>
    <row r="15" spans="2:20">
      <c r="B15" s="251" t="s">
        <v>261</v>
      </c>
      <c r="C15" s="186">
        <v>184.28595726520641</v>
      </c>
      <c r="D15" s="187">
        <v>13.830030256846561</v>
      </c>
      <c r="E15" s="188">
        <v>4061.025002619569</v>
      </c>
      <c r="F15" s="189">
        <v>305.67448837482459</v>
      </c>
      <c r="G15" s="188">
        <v>890.53873815018471</v>
      </c>
      <c r="H15" s="189">
        <v>7.1999821704131248</v>
      </c>
      <c r="I15" s="186">
        <v>912.10448451341563</v>
      </c>
      <c r="J15" s="187">
        <v>2.3424456064036749</v>
      </c>
      <c r="K15" s="296">
        <v>1.190228035133418</v>
      </c>
      <c r="L15" s="297">
        <v>6.7055877786930162E-3</v>
      </c>
      <c r="M15" s="188"/>
      <c r="N15" s="189"/>
      <c r="O15" s="191"/>
      <c r="P15" s="192"/>
      <c r="Q15" s="188"/>
      <c r="R15" s="189"/>
      <c r="S15" s="396">
        <f t="shared" si="1"/>
        <v>-66</v>
      </c>
      <c r="T15" s="397">
        <f t="shared" si="0"/>
        <v>0</v>
      </c>
    </row>
    <row r="16" spans="2:20">
      <c r="B16" s="251" t="s">
        <v>262</v>
      </c>
      <c r="C16" s="186">
        <v>291.32368209650872</v>
      </c>
      <c r="D16" s="187">
        <v>21.864006915823619</v>
      </c>
      <c r="E16" s="188">
        <v>70058.770550912333</v>
      </c>
      <c r="F16" s="189">
        <v>5265.2604025891114</v>
      </c>
      <c r="G16" s="188">
        <v>56.937933650473113</v>
      </c>
      <c r="H16" s="189">
        <v>0.59056937894957751</v>
      </c>
      <c r="I16" s="186">
        <v>424.27451169160958</v>
      </c>
      <c r="J16" s="187">
        <v>5.4556585245434377</v>
      </c>
      <c r="K16" s="296">
        <v>0.8304669671580055</v>
      </c>
      <c r="L16" s="297">
        <v>7.9616154875123205E-3</v>
      </c>
      <c r="M16" s="188"/>
      <c r="N16" s="189"/>
      <c r="O16" s="191"/>
      <c r="P16" s="192"/>
      <c r="Q16" s="188"/>
      <c r="R16" s="189"/>
      <c r="S16" s="396">
        <f t="shared" ref="S16:S24" si="2">(O16-66)</f>
        <v>-66</v>
      </c>
      <c r="T16" s="397">
        <f t="shared" ref="T16:T24" si="3">P16</f>
        <v>0</v>
      </c>
    </row>
    <row r="17" spans="2:20">
      <c r="B17" s="251" t="s">
        <v>263</v>
      </c>
      <c r="C17" s="186">
        <v>311.0312347333915</v>
      </c>
      <c r="D17" s="187">
        <v>23.34853470810517</v>
      </c>
      <c r="E17" s="188">
        <v>7065.8381093125736</v>
      </c>
      <c r="F17" s="189">
        <v>536.98438140277221</v>
      </c>
      <c r="G17" s="188">
        <v>867.36967852083467</v>
      </c>
      <c r="H17" s="189">
        <v>18.072518429214711</v>
      </c>
      <c r="I17" s="186">
        <v>1046.914721660524</v>
      </c>
      <c r="J17" s="187">
        <v>4.6999119494733934</v>
      </c>
      <c r="K17" s="296">
        <v>1.195082408452067</v>
      </c>
      <c r="L17" s="297">
        <v>2.0483707612757401E-2</v>
      </c>
      <c r="M17" s="188"/>
      <c r="N17" s="189"/>
      <c r="O17" s="191"/>
      <c r="P17" s="192"/>
      <c r="Q17" s="188"/>
      <c r="R17" s="189"/>
      <c r="S17" s="396">
        <f t="shared" si="2"/>
        <v>-66</v>
      </c>
      <c r="T17" s="397">
        <f t="shared" si="3"/>
        <v>0</v>
      </c>
    </row>
    <row r="18" spans="2:20">
      <c r="B18" s="251"/>
      <c r="C18" s="186"/>
      <c r="D18" s="187"/>
      <c r="E18" s="188"/>
      <c r="F18" s="189"/>
      <c r="G18" s="188"/>
      <c r="H18" s="189"/>
      <c r="I18" s="186"/>
      <c r="J18" s="187"/>
      <c r="K18" s="296"/>
      <c r="L18" s="297"/>
      <c r="M18" s="188"/>
      <c r="N18" s="189"/>
      <c r="O18" s="191"/>
      <c r="P18" s="192"/>
      <c r="Q18" s="188"/>
      <c r="R18" s="189"/>
      <c r="S18" s="396">
        <f t="shared" si="2"/>
        <v>-66</v>
      </c>
      <c r="T18" s="397">
        <f t="shared" si="3"/>
        <v>0</v>
      </c>
    </row>
    <row r="19" spans="2:20">
      <c r="B19" s="251"/>
      <c r="C19" s="186"/>
      <c r="D19" s="187"/>
      <c r="E19" s="188"/>
      <c r="F19" s="189"/>
      <c r="G19" s="188"/>
      <c r="H19" s="189"/>
      <c r="I19" s="186"/>
      <c r="J19" s="187"/>
      <c r="K19" s="296"/>
      <c r="L19" s="297"/>
      <c r="M19" s="188"/>
      <c r="N19" s="189"/>
      <c r="O19" s="191"/>
      <c r="P19" s="192"/>
      <c r="Q19" s="188"/>
      <c r="R19" s="189"/>
      <c r="S19" s="396">
        <f t="shared" si="2"/>
        <v>-66</v>
      </c>
      <c r="T19" s="397">
        <f t="shared" si="3"/>
        <v>0</v>
      </c>
    </row>
    <row r="20" spans="2:20">
      <c r="B20" s="251"/>
      <c r="C20" s="186"/>
      <c r="D20" s="187"/>
      <c r="E20" s="188"/>
      <c r="F20" s="189"/>
      <c r="G20" s="188"/>
      <c r="H20" s="189"/>
      <c r="I20" s="186"/>
      <c r="J20" s="187"/>
      <c r="K20" s="296"/>
      <c r="L20" s="297"/>
      <c r="M20" s="188"/>
      <c r="N20" s="189"/>
      <c r="O20" s="191"/>
      <c r="P20" s="192"/>
      <c r="Q20" s="188"/>
      <c r="R20" s="189"/>
      <c r="S20" s="396">
        <f t="shared" si="2"/>
        <v>-66</v>
      </c>
      <c r="T20" s="397">
        <f t="shared" si="3"/>
        <v>0</v>
      </c>
    </row>
    <row r="21" spans="2:20">
      <c r="B21" s="251"/>
      <c r="C21" s="186"/>
      <c r="D21" s="187"/>
      <c r="E21" s="188"/>
      <c r="F21" s="189"/>
      <c r="G21" s="188"/>
      <c r="H21" s="189"/>
      <c r="I21" s="186"/>
      <c r="J21" s="187"/>
      <c r="K21" s="296"/>
      <c r="L21" s="297"/>
      <c r="M21" s="188"/>
      <c r="N21" s="189"/>
      <c r="O21" s="191"/>
      <c r="P21" s="192"/>
      <c r="Q21" s="188"/>
      <c r="R21" s="189"/>
      <c r="S21" s="396">
        <f t="shared" si="2"/>
        <v>-66</v>
      </c>
      <c r="T21" s="397">
        <f t="shared" si="3"/>
        <v>0</v>
      </c>
    </row>
    <row r="22" spans="2:20">
      <c r="B22" s="251"/>
      <c r="C22" s="186"/>
      <c r="D22" s="187"/>
      <c r="E22" s="188"/>
      <c r="F22" s="189"/>
      <c r="G22" s="188"/>
      <c r="H22" s="189"/>
      <c r="I22" s="186"/>
      <c r="J22" s="187"/>
      <c r="K22" s="296"/>
      <c r="L22" s="297"/>
      <c r="M22" s="188"/>
      <c r="N22" s="189"/>
      <c r="O22" s="191"/>
      <c r="P22" s="192"/>
      <c r="Q22" s="188"/>
      <c r="R22" s="189"/>
      <c r="S22" s="396">
        <f t="shared" si="2"/>
        <v>-66</v>
      </c>
      <c r="T22" s="397">
        <f t="shared" si="3"/>
        <v>0</v>
      </c>
    </row>
    <row r="23" spans="2:20">
      <c r="B23" s="251"/>
      <c r="C23" s="186"/>
      <c r="D23" s="187"/>
      <c r="E23" s="188"/>
      <c r="F23" s="189"/>
      <c r="G23" s="188"/>
      <c r="H23" s="189"/>
      <c r="I23" s="186"/>
      <c r="J23" s="187"/>
      <c r="K23" s="296"/>
      <c r="L23" s="297"/>
      <c r="M23" s="188"/>
      <c r="N23" s="189"/>
      <c r="O23" s="191"/>
      <c r="P23" s="192"/>
      <c r="Q23" s="188"/>
      <c r="R23" s="189"/>
      <c r="S23" s="396">
        <f t="shared" si="2"/>
        <v>-66</v>
      </c>
      <c r="T23" s="397">
        <f t="shared" si="3"/>
        <v>0</v>
      </c>
    </row>
    <row r="24" spans="2:20">
      <c r="B24" s="251"/>
      <c r="C24" s="186"/>
      <c r="D24" s="187"/>
      <c r="E24" s="188"/>
      <c r="F24" s="189"/>
      <c r="G24" s="188"/>
      <c r="H24" s="189"/>
      <c r="I24" s="186"/>
      <c r="J24" s="187"/>
      <c r="K24" s="296"/>
      <c r="L24" s="297"/>
      <c r="M24" s="188"/>
      <c r="N24" s="189"/>
      <c r="O24" s="191"/>
      <c r="P24" s="192"/>
      <c r="Q24" s="188"/>
      <c r="R24" s="189"/>
      <c r="S24" s="396">
        <f t="shared" si="2"/>
        <v>-66</v>
      </c>
      <c r="T24" s="397">
        <f t="shared" si="3"/>
        <v>0</v>
      </c>
    </row>
    <row r="25" spans="2:20">
      <c r="B25" s="193"/>
      <c r="C25" s="196"/>
      <c r="D25" s="195"/>
      <c r="E25" s="196"/>
      <c r="F25" s="197"/>
      <c r="G25" s="196"/>
      <c r="H25" s="197"/>
      <c r="I25" s="194"/>
      <c r="J25" s="195"/>
      <c r="K25" s="198"/>
      <c r="L25" s="199"/>
      <c r="M25" s="196"/>
      <c r="N25" s="197"/>
      <c r="O25" s="200"/>
      <c r="P25" s="201"/>
      <c r="Q25" s="194"/>
      <c r="R25" s="195"/>
      <c r="S25" s="221"/>
      <c r="T25" s="222"/>
    </row>
    <row r="26" spans="2:20">
      <c r="B26" s="185"/>
      <c r="C26" s="186"/>
      <c r="D26" s="187"/>
      <c r="E26" s="188"/>
      <c r="F26" s="189"/>
      <c r="G26" s="186"/>
      <c r="H26" s="187"/>
      <c r="I26" s="186"/>
      <c r="J26" s="187"/>
      <c r="K26" s="51"/>
      <c r="L26" s="190"/>
      <c r="M26" s="188"/>
      <c r="N26" s="189"/>
      <c r="O26" s="191"/>
      <c r="P26" s="192"/>
      <c r="Q26" s="186"/>
      <c r="R26" s="187"/>
    </row>
    <row r="27" spans="2:20" ht="18.75">
      <c r="B27" s="303" t="s">
        <v>206</v>
      </c>
      <c r="C27" s="186"/>
      <c r="D27" s="187"/>
      <c r="E27" s="188"/>
      <c r="F27" s="189"/>
      <c r="G27" s="186"/>
      <c r="H27" s="187"/>
      <c r="I27" s="186"/>
      <c r="J27" s="187"/>
      <c r="K27" s="51"/>
      <c r="L27" s="190"/>
      <c r="M27" s="188"/>
      <c r="N27" s="189"/>
      <c r="O27" s="191"/>
      <c r="P27" s="192"/>
      <c r="Q27" s="186"/>
      <c r="R27" s="187"/>
    </row>
    <row r="28" spans="2:20" ht="16.5">
      <c r="B28" s="202" t="s">
        <v>136</v>
      </c>
      <c r="C28" s="186"/>
      <c r="D28" s="187"/>
      <c r="E28" s="188"/>
      <c r="F28" s="189"/>
      <c r="G28" s="186"/>
      <c r="H28" s="187"/>
      <c r="I28" s="186"/>
      <c r="J28" s="187"/>
      <c r="K28" s="51"/>
      <c r="L28" s="190"/>
      <c r="M28" s="188"/>
      <c r="N28" s="189"/>
      <c r="O28" s="191"/>
      <c r="P28" s="192"/>
      <c r="Q28" s="186"/>
      <c r="R28" s="187"/>
    </row>
    <row r="29" spans="2:20" ht="15.75">
      <c r="B29" s="202" t="s">
        <v>137</v>
      </c>
      <c r="C29" s="186"/>
      <c r="D29" s="187"/>
      <c r="E29" s="188"/>
      <c r="F29" s="189"/>
      <c r="G29" s="186"/>
      <c r="H29" s="187"/>
      <c r="I29" s="186"/>
      <c r="J29" s="187"/>
      <c r="K29" s="51"/>
      <c r="L29" s="190"/>
      <c r="M29" s="188"/>
      <c r="N29" s="189"/>
      <c r="O29" s="191"/>
      <c r="P29" s="192"/>
      <c r="Q29" s="186"/>
      <c r="R29" s="187"/>
    </row>
    <row r="30" spans="2:20" ht="15.75">
      <c r="B30" s="203" t="s">
        <v>138</v>
      </c>
      <c r="C30" s="186"/>
      <c r="D30" s="187"/>
      <c r="E30" s="188"/>
      <c r="F30" s="189"/>
      <c r="G30" s="186"/>
      <c r="H30" s="187"/>
      <c r="I30" s="186"/>
      <c r="J30" s="187"/>
      <c r="K30" s="51"/>
      <c r="L30" s="190"/>
      <c r="M30" s="188"/>
      <c r="N30" s="189"/>
      <c r="O30" s="191"/>
      <c r="P30" s="192"/>
      <c r="Q30" s="186"/>
      <c r="R30" s="187"/>
    </row>
    <row r="31" spans="2:20">
      <c r="B31" s="240" t="s">
        <v>163</v>
      </c>
      <c r="C31" s="186"/>
      <c r="D31" s="187"/>
      <c r="E31" s="188"/>
      <c r="F31" s="189"/>
      <c r="G31" s="186"/>
      <c r="H31" s="187"/>
      <c r="I31" s="186"/>
      <c r="J31" s="187"/>
      <c r="K31" s="51"/>
      <c r="L31" s="190"/>
      <c r="M31" s="188"/>
      <c r="N31" s="189"/>
      <c r="O31" s="191"/>
      <c r="P31" s="192"/>
      <c r="Q31" s="186"/>
      <c r="R31" s="187"/>
    </row>
    <row r="32" spans="2:20">
      <c r="B32" s="185"/>
      <c r="C32" s="186"/>
      <c r="D32" s="187"/>
      <c r="E32" s="188"/>
      <c r="F32" s="189"/>
      <c r="G32" s="186"/>
      <c r="H32" s="187"/>
      <c r="I32" s="186"/>
      <c r="J32" s="187"/>
      <c r="K32" s="51"/>
      <c r="L32" s="190"/>
      <c r="M32" s="188"/>
      <c r="N32" s="189"/>
      <c r="O32" s="191"/>
      <c r="P32" s="192"/>
      <c r="Q32" s="186"/>
      <c r="R32" s="187"/>
    </row>
    <row r="33" spans="2:18">
      <c r="B33" s="185"/>
      <c r="C33" s="186"/>
      <c r="D33" s="187"/>
      <c r="E33" s="188"/>
      <c r="F33" s="189"/>
      <c r="G33" s="186"/>
      <c r="H33" s="187"/>
      <c r="I33" s="186"/>
      <c r="J33" s="187"/>
      <c r="K33" s="51"/>
      <c r="L33" s="190"/>
      <c r="M33" s="188"/>
      <c r="N33" s="189"/>
      <c r="O33" s="191"/>
      <c r="P33" s="192"/>
      <c r="Q33" s="186"/>
      <c r="R33" s="187"/>
    </row>
    <row r="34" spans="2:18">
      <c r="B34" s="185"/>
      <c r="C34" s="186"/>
      <c r="D34" s="187"/>
      <c r="E34" s="188"/>
      <c r="F34" s="189"/>
      <c r="G34" s="186"/>
      <c r="H34" s="187"/>
      <c r="I34" s="186"/>
      <c r="J34" s="187"/>
      <c r="K34" s="51"/>
      <c r="L34" s="190"/>
      <c r="M34" s="188"/>
      <c r="N34" s="189"/>
      <c r="O34" s="191"/>
      <c r="P34" s="192"/>
      <c r="Q34" s="186"/>
      <c r="R34" s="187"/>
    </row>
    <row r="35" spans="2:18">
      <c r="B35" s="185"/>
      <c r="C35" s="186"/>
      <c r="D35" s="187"/>
      <c r="E35" s="188"/>
      <c r="F35" s="189"/>
      <c r="G35" s="186"/>
      <c r="H35" s="187"/>
      <c r="I35" s="186"/>
      <c r="J35" s="187"/>
      <c r="K35" s="51"/>
      <c r="L35" s="190"/>
      <c r="M35" s="188"/>
      <c r="N35" s="189"/>
      <c r="O35" s="191"/>
      <c r="P35" s="192"/>
      <c r="Q35" s="186"/>
      <c r="R35" s="187"/>
    </row>
    <row r="36" spans="2:18">
      <c r="B36" s="185"/>
      <c r="C36" s="186"/>
      <c r="D36" s="187"/>
      <c r="E36" s="188"/>
      <c r="F36" s="189"/>
      <c r="G36" s="186"/>
      <c r="H36" s="187"/>
      <c r="I36" s="186"/>
      <c r="J36" s="187"/>
      <c r="K36" s="51"/>
      <c r="L36" s="190"/>
      <c r="M36" s="188"/>
      <c r="N36" s="189"/>
      <c r="O36" s="191"/>
      <c r="P36" s="192"/>
      <c r="Q36" s="186"/>
      <c r="R36" s="187"/>
    </row>
    <row r="37" spans="2:18">
      <c r="B37" s="185"/>
      <c r="C37" s="186"/>
      <c r="D37" s="187"/>
      <c r="E37" s="188"/>
      <c r="F37" s="189"/>
      <c r="G37" s="186"/>
      <c r="H37" s="187"/>
      <c r="I37" s="186"/>
      <c r="J37" s="187"/>
      <c r="K37" s="51"/>
      <c r="L37" s="190"/>
      <c r="M37" s="188"/>
      <c r="N37" s="189"/>
      <c r="O37" s="191"/>
      <c r="P37" s="192"/>
      <c r="Q37" s="186"/>
      <c r="R37" s="187"/>
    </row>
    <row r="38" spans="2:18">
      <c r="B38" s="185"/>
      <c r="C38" s="186"/>
      <c r="D38" s="187"/>
      <c r="E38" s="188"/>
      <c r="F38" s="189"/>
      <c r="G38" s="186"/>
      <c r="H38" s="187"/>
      <c r="I38" s="186"/>
      <c r="J38" s="187"/>
      <c r="K38" s="51"/>
      <c r="L38" s="190"/>
      <c r="M38" s="188"/>
      <c r="N38" s="189"/>
      <c r="O38" s="191"/>
      <c r="P38" s="192"/>
      <c r="Q38" s="186"/>
      <c r="R38" s="187"/>
    </row>
    <row r="39" spans="2:18">
      <c r="B39" s="185"/>
      <c r="C39" s="186"/>
      <c r="D39" s="187"/>
      <c r="E39" s="188"/>
      <c r="F39" s="189"/>
      <c r="G39" s="186"/>
      <c r="H39" s="187"/>
      <c r="I39" s="186"/>
      <c r="J39" s="187"/>
      <c r="K39" s="51"/>
      <c r="L39" s="190"/>
      <c r="M39" s="191"/>
      <c r="N39" s="192"/>
      <c r="O39" s="188"/>
      <c r="P39" s="189"/>
      <c r="Q39" s="186"/>
      <c r="R39" s="187"/>
    </row>
    <row r="40" spans="2:18">
      <c r="B40" s="185"/>
      <c r="C40" s="186"/>
      <c r="D40" s="187"/>
      <c r="E40" s="188"/>
      <c r="F40" s="189"/>
      <c r="G40" s="186"/>
      <c r="H40" s="187"/>
      <c r="I40" s="186"/>
      <c r="J40" s="187"/>
      <c r="K40" s="51"/>
      <c r="L40" s="190"/>
      <c r="M40" s="191"/>
      <c r="N40" s="192"/>
      <c r="O40" s="188"/>
      <c r="P40" s="189"/>
      <c r="Q40" s="186"/>
      <c r="R40" s="187"/>
    </row>
    <row r="41" spans="2:18">
      <c r="B41" s="185"/>
      <c r="C41" s="186"/>
      <c r="D41" s="187"/>
      <c r="E41" s="188"/>
      <c r="F41" s="189"/>
      <c r="G41" s="186"/>
      <c r="H41" s="187"/>
      <c r="I41" s="186"/>
      <c r="J41" s="187"/>
      <c r="K41" s="51"/>
      <c r="L41" s="190"/>
      <c r="M41" s="191"/>
      <c r="N41" s="192"/>
      <c r="O41" s="188"/>
      <c r="P41" s="189"/>
      <c r="Q41" s="186"/>
      <c r="R41" s="187"/>
    </row>
    <row r="42" spans="2:18">
      <c r="B42" s="185"/>
      <c r="C42" s="186"/>
      <c r="D42" s="187"/>
      <c r="E42" s="188"/>
      <c r="F42" s="189"/>
      <c r="G42" s="186"/>
      <c r="H42" s="187"/>
      <c r="I42" s="186"/>
      <c r="J42" s="187"/>
      <c r="K42" s="51"/>
      <c r="L42" s="190"/>
      <c r="M42" s="191"/>
      <c r="N42" s="192"/>
      <c r="O42" s="188"/>
      <c r="P42" s="189"/>
      <c r="Q42" s="186"/>
      <c r="R42" s="187"/>
    </row>
    <row r="43" spans="2:18">
      <c r="B43" s="185"/>
      <c r="C43" s="186"/>
      <c r="D43" s="187"/>
      <c r="E43" s="188"/>
      <c r="F43" s="189"/>
      <c r="G43" s="186"/>
      <c r="H43" s="187"/>
      <c r="I43" s="186"/>
      <c r="J43" s="187"/>
      <c r="K43" s="51"/>
      <c r="L43" s="190"/>
      <c r="M43" s="191"/>
      <c r="N43" s="192"/>
      <c r="O43" s="188"/>
      <c r="P43" s="189"/>
      <c r="Q43" s="186"/>
      <c r="R43" s="187"/>
    </row>
    <row r="44" spans="2:18">
      <c r="B44" s="185"/>
      <c r="C44" s="186"/>
      <c r="D44" s="187"/>
      <c r="E44" s="188"/>
      <c r="F44" s="189"/>
      <c r="G44" s="186"/>
      <c r="H44" s="187"/>
      <c r="I44" s="186"/>
      <c r="J44" s="187"/>
      <c r="K44" s="51"/>
      <c r="L44" s="190"/>
      <c r="M44" s="191"/>
      <c r="N44" s="192"/>
      <c r="O44" s="188"/>
      <c r="P44" s="189"/>
      <c r="Q44" s="186"/>
      <c r="R44" s="187"/>
    </row>
    <row r="45" spans="2:18">
      <c r="B45" s="185"/>
      <c r="C45" s="186"/>
      <c r="D45" s="187"/>
      <c r="E45" s="188"/>
      <c r="F45" s="189"/>
      <c r="G45" s="186"/>
      <c r="H45" s="187"/>
      <c r="I45" s="186"/>
      <c r="J45" s="187"/>
      <c r="K45" s="51"/>
      <c r="L45" s="190"/>
      <c r="M45" s="191"/>
      <c r="N45" s="192"/>
      <c r="O45" s="188"/>
      <c r="P45" s="189"/>
      <c r="Q45" s="186"/>
      <c r="R45" s="187"/>
    </row>
    <row r="46" spans="2:18">
      <c r="B46" s="185"/>
      <c r="C46" s="186"/>
      <c r="D46" s="187"/>
      <c r="E46" s="188"/>
      <c r="F46" s="189"/>
      <c r="G46" s="186"/>
      <c r="H46" s="187"/>
      <c r="I46" s="186"/>
      <c r="J46" s="187"/>
      <c r="K46" s="51"/>
      <c r="L46" s="190"/>
      <c r="M46" s="191"/>
      <c r="N46" s="192"/>
      <c r="O46" s="188"/>
      <c r="P46" s="189"/>
      <c r="Q46" s="186"/>
      <c r="R46" s="187"/>
    </row>
    <row r="47" spans="2:18">
      <c r="B47" s="185"/>
      <c r="C47" s="186"/>
      <c r="D47" s="187"/>
      <c r="E47" s="188"/>
      <c r="F47" s="189"/>
      <c r="G47" s="186"/>
      <c r="H47" s="187"/>
      <c r="I47" s="186"/>
      <c r="J47" s="187"/>
      <c r="K47" s="51"/>
      <c r="L47" s="190"/>
      <c r="M47" s="191"/>
      <c r="N47" s="192"/>
      <c r="O47" s="188"/>
      <c r="P47" s="189"/>
      <c r="Q47" s="186"/>
      <c r="R47" s="187"/>
    </row>
    <row r="48" spans="2:18">
      <c r="B48" s="185"/>
      <c r="C48" s="186"/>
      <c r="D48" s="187"/>
      <c r="E48" s="188"/>
      <c r="F48" s="189"/>
      <c r="G48" s="186"/>
      <c r="H48" s="187"/>
      <c r="I48" s="186"/>
      <c r="J48" s="187"/>
      <c r="K48" s="51"/>
      <c r="L48" s="190"/>
      <c r="M48" s="191"/>
      <c r="N48" s="192"/>
      <c r="O48" s="188"/>
      <c r="P48" s="189"/>
      <c r="Q48" s="186"/>
      <c r="R48" s="187"/>
    </row>
    <row r="49" spans="2:18">
      <c r="B49" s="185"/>
      <c r="C49" s="186"/>
      <c r="D49" s="187"/>
      <c r="E49" s="188"/>
      <c r="F49" s="189"/>
      <c r="G49" s="186"/>
      <c r="H49" s="187"/>
      <c r="I49" s="186"/>
      <c r="J49" s="187"/>
      <c r="K49" s="51"/>
      <c r="L49" s="190"/>
      <c r="M49" s="191"/>
      <c r="N49" s="192"/>
      <c r="O49" s="188"/>
      <c r="P49" s="189"/>
      <c r="Q49" s="186"/>
      <c r="R49" s="187"/>
    </row>
    <row r="50" spans="2:18">
      <c r="B50" s="185"/>
      <c r="C50" s="186"/>
      <c r="D50" s="187"/>
      <c r="E50" s="188"/>
      <c r="F50" s="189"/>
      <c r="G50" s="186"/>
      <c r="H50" s="187"/>
      <c r="I50" s="186"/>
      <c r="J50" s="187"/>
      <c r="K50" s="51"/>
      <c r="L50" s="190"/>
      <c r="M50" s="191"/>
      <c r="N50" s="192"/>
      <c r="O50" s="188"/>
      <c r="P50" s="189"/>
      <c r="Q50" s="186"/>
      <c r="R50" s="187"/>
    </row>
    <row r="51" spans="2:18">
      <c r="B51" s="185"/>
      <c r="C51" s="186"/>
      <c r="D51" s="187"/>
      <c r="E51" s="188"/>
      <c r="F51" s="189"/>
      <c r="G51" s="186"/>
      <c r="H51" s="187"/>
      <c r="I51" s="186"/>
      <c r="J51" s="187"/>
      <c r="K51" s="51"/>
      <c r="L51" s="190"/>
      <c r="M51" s="191"/>
      <c r="N51" s="192"/>
      <c r="O51" s="188"/>
      <c r="P51" s="189"/>
      <c r="Q51" s="186"/>
      <c r="R51" s="187"/>
    </row>
    <row r="52" spans="2:18">
      <c r="B52" s="185"/>
      <c r="C52" s="186"/>
      <c r="D52" s="187"/>
      <c r="E52" s="188"/>
      <c r="F52" s="189"/>
      <c r="G52" s="186"/>
      <c r="H52" s="187"/>
      <c r="I52" s="186"/>
      <c r="J52" s="187"/>
      <c r="K52" s="51"/>
      <c r="L52" s="190"/>
      <c r="M52" s="191"/>
      <c r="N52" s="192"/>
      <c r="O52" s="188"/>
      <c r="P52" s="189"/>
      <c r="Q52" s="186"/>
      <c r="R52" s="187"/>
    </row>
    <row r="53" spans="2:18">
      <c r="B53" s="185"/>
      <c r="C53" s="186"/>
      <c r="D53" s="187"/>
      <c r="E53" s="188"/>
      <c r="F53" s="189"/>
      <c r="G53" s="186"/>
      <c r="H53" s="187"/>
      <c r="I53" s="186"/>
      <c r="J53" s="187"/>
      <c r="K53" s="51"/>
      <c r="L53" s="190"/>
      <c r="M53" s="191"/>
      <c r="N53" s="192"/>
      <c r="O53" s="188"/>
      <c r="P53" s="189"/>
      <c r="Q53" s="186"/>
      <c r="R53" s="187"/>
    </row>
    <row r="54" spans="2:18">
      <c r="B54" s="185"/>
      <c r="C54" s="186"/>
      <c r="D54" s="187"/>
      <c r="E54" s="188"/>
      <c r="F54" s="189"/>
      <c r="G54" s="186"/>
      <c r="H54" s="187"/>
      <c r="I54" s="186"/>
      <c r="J54" s="187"/>
      <c r="K54" s="51"/>
      <c r="L54" s="190"/>
      <c r="M54" s="191"/>
      <c r="N54" s="192"/>
      <c r="O54" s="188"/>
      <c r="P54" s="189"/>
      <c r="Q54" s="186"/>
      <c r="R54" s="187"/>
    </row>
    <row r="55" spans="2:18">
      <c r="B55" s="185"/>
      <c r="C55" s="186"/>
      <c r="D55" s="187"/>
      <c r="E55" s="188"/>
      <c r="F55" s="189"/>
      <c r="G55" s="186"/>
      <c r="H55" s="187"/>
      <c r="I55" s="186"/>
      <c r="J55" s="187"/>
      <c r="K55" s="51"/>
      <c r="L55" s="190"/>
      <c r="M55" s="191"/>
      <c r="N55" s="192"/>
      <c r="O55" s="188"/>
      <c r="P55" s="189"/>
      <c r="Q55" s="186"/>
      <c r="R55" s="187"/>
    </row>
    <row r="56" spans="2:18">
      <c r="B56" s="185"/>
      <c r="C56" s="186"/>
      <c r="D56" s="187"/>
      <c r="E56" s="188"/>
      <c r="F56" s="189"/>
      <c r="G56" s="186"/>
      <c r="H56" s="187"/>
      <c r="I56" s="186"/>
      <c r="J56" s="187"/>
      <c r="K56" s="51"/>
      <c r="L56" s="190"/>
      <c r="M56" s="191"/>
      <c r="N56" s="192"/>
      <c r="O56" s="188"/>
      <c r="P56" s="189"/>
      <c r="Q56" s="186"/>
      <c r="R56" s="187"/>
    </row>
    <row r="57" spans="2:18">
      <c r="B57" s="185"/>
      <c r="C57" s="186"/>
      <c r="D57" s="187"/>
      <c r="E57" s="188"/>
      <c r="F57" s="189"/>
      <c r="G57" s="186"/>
      <c r="H57" s="187"/>
      <c r="I57" s="186"/>
      <c r="J57" s="187"/>
      <c r="K57" s="51"/>
      <c r="L57" s="190"/>
      <c r="M57" s="191"/>
      <c r="N57" s="192"/>
      <c r="O57" s="188"/>
      <c r="P57" s="189"/>
      <c r="Q57" s="186"/>
      <c r="R57" s="187"/>
    </row>
    <row r="58" spans="2:18">
      <c r="B58" s="185"/>
      <c r="C58" s="186"/>
      <c r="D58" s="187"/>
      <c r="E58" s="188"/>
      <c r="F58" s="189"/>
      <c r="G58" s="186"/>
      <c r="H58" s="187"/>
      <c r="I58" s="186"/>
      <c r="J58" s="187"/>
      <c r="K58" s="51"/>
      <c r="L58" s="190"/>
      <c r="M58" s="191"/>
      <c r="N58" s="192"/>
      <c r="O58" s="188"/>
      <c r="P58" s="189"/>
      <c r="Q58" s="186"/>
      <c r="R58" s="187"/>
    </row>
    <row r="59" spans="2:18">
      <c r="B59" s="185"/>
      <c r="C59" s="186"/>
      <c r="D59" s="187"/>
      <c r="E59" s="188"/>
      <c r="F59" s="189"/>
      <c r="G59" s="186"/>
      <c r="H59" s="187"/>
      <c r="I59" s="186"/>
      <c r="J59" s="187"/>
      <c r="K59" s="51"/>
      <c r="L59" s="190"/>
      <c r="M59" s="191"/>
      <c r="N59" s="192"/>
      <c r="O59" s="188"/>
      <c r="P59" s="189"/>
      <c r="Q59" s="186"/>
      <c r="R59" s="187"/>
    </row>
    <row r="60" spans="2:18">
      <c r="B60" s="185"/>
      <c r="C60" s="186"/>
      <c r="D60" s="187"/>
      <c r="E60" s="188"/>
      <c r="F60" s="189"/>
      <c r="G60" s="186"/>
      <c r="H60" s="187"/>
      <c r="I60" s="186"/>
      <c r="J60" s="187"/>
      <c r="K60" s="51"/>
      <c r="L60" s="190"/>
      <c r="M60" s="191"/>
      <c r="N60" s="192"/>
      <c r="O60" s="188"/>
      <c r="P60" s="189"/>
      <c r="Q60" s="186"/>
      <c r="R60" s="187"/>
    </row>
    <row r="61" spans="2:18">
      <c r="B61" s="185"/>
      <c r="C61" s="186"/>
      <c r="D61" s="187"/>
      <c r="E61" s="188"/>
      <c r="F61" s="189"/>
      <c r="G61" s="186"/>
      <c r="H61" s="187"/>
      <c r="I61" s="186"/>
      <c r="J61" s="187"/>
      <c r="K61" s="51"/>
      <c r="L61" s="190"/>
      <c r="M61" s="191"/>
      <c r="N61" s="192"/>
      <c r="O61" s="188"/>
      <c r="P61" s="189"/>
      <c r="Q61" s="186"/>
      <c r="R61" s="187"/>
    </row>
    <row r="62" spans="2:18">
      <c r="B62" s="185"/>
      <c r="C62" s="186"/>
      <c r="D62" s="187"/>
      <c r="E62" s="188"/>
      <c r="F62" s="189"/>
      <c r="G62" s="186"/>
      <c r="H62" s="187"/>
      <c r="I62" s="186"/>
      <c r="J62" s="187"/>
      <c r="K62" s="51"/>
      <c r="L62" s="190"/>
      <c r="M62" s="191"/>
      <c r="N62" s="192"/>
      <c r="O62" s="188"/>
      <c r="P62" s="189"/>
      <c r="Q62" s="186"/>
      <c r="R62" s="187"/>
    </row>
    <row r="63" spans="2:18">
      <c r="B63" s="185"/>
      <c r="C63" s="186"/>
      <c r="D63" s="187"/>
      <c r="E63" s="188"/>
      <c r="F63" s="189"/>
      <c r="G63" s="186"/>
      <c r="H63" s="187"/>
      <c r="I63" s="186"/>
      <c r="J63" s="187"/>
      <c r="K63" s="51"/>
      <c r="L63" s="190"/>
      <c r="M63" s="191"/>
      <c r="N63" s="192"/>
      <c r="O63" s="188"/>
      <c r="P63" s="189"/>
      <c r="Q63" s="186"/>
      <c r="R63" s="187"/>
    </row>
    <row r="64" spans="2:18">
      <c r="B64" s="185"/>
      <c r="C64" s="186"/>
      <c r="D64" s="187"/>
      <c r="E64" s="188"/>
      <c r="F64" s="189"/>
      <c r="G64" s="186"/>
      <c r="H64" s="187"/>
      <c r="I64" s="186"/>
      <c r="J64" s="187"/>
      <c r="K64" s="51"/>
      <c r="L64" s="190"/>
      <c r="M64" s="191"/>
      <c r="N64" s="192"/>
      <c r="O64" s="188"/>
      <c r="P64" s="189"/>
      <c r="Q64" s="186"/>
      <c r="R64" s="187"/>
    </row>
    <row r="65" spans="2:18">
      <c r="B65" s="185"/>
      <c r="C65" s="186"/>
      <c r="D65" s="187"/>
      <c r="E65" s="188"/>
      <c r="F65" s="189"/>
      <c r="G65" s="186"/>
      <c r="H65" s="187"/>
      <c r="I65" s="186"/>
      <c r="J65" s="187"/>
      <c r="K65" s="51"/>
      <c r="L65" s="190"/>
      <c r="M65" s="191"/>
      <c r="N65" s="192"/>
      <c r="O65" s="188"/>
      <c r="P65" s="189"/>
      <c r="Q65" s="186"/>
      <c r="R65" s="187"/>
    </row>
    <row r="66" spans="2:18">
      <c r="B66" s="185"/>
      <c r="C66" s="186"/>
      <c r="D66" s="187"/>
      <c r="E66" s="188"/>
      <c r="F66" s="189"/>
      <c r="G66" s="186"/>
      <c r="H66" s="187"/>
      <c r="I66" s="186"/>
      <c r="J66" s="187"/>
      <c r="K66" s="51"/>
      <c r="L66" s="190"/>
      <c r="M66" s="191"/>
      <c r="N66" s="192"/>
      <c r="O66" s="188"/>
      <c r="P66" s="189"/>
      <c r="Q66" s="186"/>
      <c r="R66" s="187"/>
    </row>
    <row r="67" spans="2:18">
      <c r="B67" s="185"/>
      <c r="C67" s="186"/>
      <c r="D67" s="187"/>
      <c r="E67" s="188"/>
      <c r="F67" s="189"/>
      <c r="G67" s="186"/>
      <c r="H67" s="187"/>
      <c r="I67" s="186"/>
      <c r="J67" s="187"/>
      <c r="K67" s="51"/>
      <c r="L67" s="190"/>
      <c r="M67" s="191"/>
      <c r="N67" s="192"/>
      <c r="O67" s="188"/>
      <c r="P67" s="189"/>
      <c r="Q67" s="186"/>
      <c r="R67" s="187"/>
    </row>
    <row r="68" spans="2:18">
      <c r="B68" s="185"/>
      <c r="C68" s="186"/>
      <c r="D68" s="187"/>
      <c r="E68" s="188"/>
      <c r="F68" s="189"/>
      <c r="G68" s="186"/>
      <c r="H68" s="187"/>
      <c r="I68" s="186"/>
      <c r="J68" s="187"/>
      <c r="K68" s="51"/>
      <c r="L68" s="190"/>
      <c r="M68" s="191"/>
      <c r="N68" s="192"/>
      <c r="O68" s="188"/>
      <c r="P68" s="189"/>
      <c r="Q68" s="186"/>
      <c r="R68" s="187"/>
    </row>
    <row r="69" spans="2:18">
      <c r="B69" s="185"/>
      <c r="C69" s="186"/>
      <c r="D69" s="187"/>
      <c r="E69" s="188"/>
      <c r="F69" s="189"/>
      <c r="G69" s="186"/>
      <c r="H69" s="187"/>
      <c r="I69" s="186"/>
      <c r="J69" s="187"/>
      <c r="K69" s="51"/>
      <c r="L69" s="190"/>
      <c r="M69" s="191"/>
      <c r="N69" s="192"/>
      <c r="O69" s="188"/>
      <c r="P69" s="189"/>
      <c r="Q69" s="186"/>
      <c r="R69" s="187"/>
    </row>
    <row r="70" spans="2:18">
      <c r="B70" s="185"/>
      <c r="C70" s="186"/>
      <c r="D70" s="187"/>
      <c r="E70" s="188"/>
      <c r="F70" s="189"/>
      <c r="G70" s="186"/>
      <c r="H70" s="187"/>
      <c r="I70" s="186"/>
      <c r="J70" s="187"/>
      <c r="K70" s="51"/>
      <c r="L70" s="190"/>
      <c r="M70" s="191"/>
      <c r="N70" s="192"/>
      <c r="O70" s="188"/>
      <c r="P70" s="189"/>
      <c r="Q70" s="186"/>
      <c r="R70" s="187"/>
    </row>
    <row r="71" spans="2:18">
      <c r="B71" s="185"/>
      <c r="C71" s="186"/>
      <c r="D71" s="187"/>
      <c r="E71" s="188"/>
      <c r="F71" s="189"/>
      <c r="G71" s="186"/>
      <c r="H71" s="187"/>
      <c r="I71" s="186"/>
      <c r="J71" s="187"/>
      <c r="K71" s="51"/>
      <c r="L71" s="190"/>
      <c r="M71" s="191"/>
      <c r="N71" s="192"/>
      <c r="O71" s="188"/>
      <c r="P71" s="189"/>
      <c r="Q71" s="186"/>
      <c r="R71" s="187"/>
    </row>
    <row r="72" spans="2:18">
      <c r="B72" s="185"/>
      <c r="C72" s="186"/>
      <c r="D72" s="187"/>
      <c r="E72" s="188"/>
      <c r="F72" s="189"/>
      <c r="G72" s="186"/>
      <c r="H72" s="187"/>
      <c r="I72" s="186"/>
      <c r="J72" s="187"/>
      <c r="K72" s="51"/>
      <c r="L72" s="190"/>
      <c r="M72" s="191"/>
      <c r="N72" s="192"/>
      <c r="O72" s="188"/>
      <c r="P72" s="189"/>
      <c r="Q72" s="186"/>
      <c r="R72" s="187"/>
    </row>
    <row r="73" spans="2:18">
      <c r="B73" s="185"/>
      <c r="C73" s="186"/>
      <c r="D73" s="187"/>
      <c r="E73" s="188"/>
      <c r="F73" s="189"/>
      <c r="G73" s="186"/>
      <c r="H73" s="187"/>
      <c r="I73" s="186"/>
      <c r="J73" s="187"/>
      <c r="K73" s="51"/>
      <c r="L73" s="190"/>
      <c r="M73" s="191"/>
      <c r="N73" s="192"/>
      <c r="O73" s="188"/>
      <c r="P73" s="189"/>
      <c r="Q73" s="186"/>
      <c r="R73" s="187"/>
    </row>
    <row r="74" spans="2:18">
      <c r="B74" s="185"/>
      <c r="C74" s="186"/>
      <c r="D74" s="187"/>
      <c r="E74" s="188"/>
      <c r="F74" s="189"/>
      <c r="G74" s="186"/>
      <c r="H74" s="187"/>
      <c r="I74" s="186"/>
      <c r="J74" s="187"/>
      <c r="K74" s="51"/>
      <c r="L74" s="190"/>
      <c r="M74" s="191"/>
      <c r="N74" s="192"/>
      <c r="O74" s="188"/>
      <c r="P74" s="189"/>
      <c r="Q74" s="186"/>
      <c r="R74" s="187"/>
    </row>
    <row r="75" spans="2:18">
      <c r="B75" s="185"/>
      <c r="C75" s="186"/>
      <c r="D75" s="187"/>
      <c r="E75" s="188"/>
      <c r="F75" s="189"/>
      <c r="G75" s="186"/>
      <c r="H75" s="187"/>
      <c r="I75" s="186"/>
      <c r="J75" s="187"/>
      <c r="K75" s="51"/>
      <c r="L75" s="190"/>
      <c r="M75" s="191"/>
      <c r="N75" s="192"/>
      <c r="O75" s="188"/>
      <c r="P75" s="189"/>
      <c r="Q75" s="186"/>
      <c r="R75" s="187"/>
    </row>
    <row r="76" spans="2:18">
      <c r="B76" s="185"/>
      <c r="C76" s="186"/>
      <c r="D76" s="187"/>
      <c r="E76" s="188"/>
      <c r="F76" s="189"/>
      <c r="G76" s="186"/>
      <c r="H76" s="187"/>
      <c r="I76" s="186"/>
      <c r="J76" s="187"/>
      <c r="K76" s="51"/>
      <c r="L76" s="190"/>
      <c r="M76" s="191"/>
      <c r="N76" s="192"/>
      <c r="O76" s="188"/>
      <c r="P76" s="189"/>
      <c r="Q76" s="186"/>
      <c r="R76" s="187"/>
    </row>
    <row r="77" spans="2:18">
      <c r="B77" s="185"/>
      <c r="C77" s="186"/>
      <c r="D77" s="187"/>
      <c r="E77" s="188"/>
      <c r="F77" s="189"/>
      <c r="G77" s="186"/>
      <c r="H77" s="187"/>
      <c r="I77" s="186"/>
      <c r="J77" s="187"/>
      <c r="K77" s="51"/>
      <c r="L77" s="190"/>
      <c r="M77" s="191"/>
      <c r="N77" s="192"/>
      <c r="O77" s="188"/>
      <c r="P77" s="189"/>
      <c r="Q77" s="186"/>
      <c r="R77" s="187"/>
    </row>
    <row r="78" spans="2:18">
      <c r="B78" s="185"/>
      <c r="C78" s="186"/>
      <c r="D78" s="187"/>
      <c r="E78" s="188"/>
      <c r="F78" s="189"/>
      <c r="G78" s="186"/>
      <c r="H78" s="187"/>
      <c r="I78" s="186"/>
      <c r="J78" s="187"/>
      <c r="K78" s="51"/>
      <c r="L78" s="190"/>
      <c r="M78" s="191"/>
      <c r="N78" s="192"/>
      <c r="O78" s="188"/>
      <c r="P78" s="189"/>
      <c r="Q78" s="186"/>
      <c r="R78" s="187"/>
    </row>
    <row r="79" spans="2:18">
      <c r="B79" s="185"/>
      <c r="C79" s="186"/>
      <c r="D79" s="187"/>
      <c r="E79" s="188"/>
      <c r="F79" s="189"/>
      <c r="G79" s="186"/>
      <c r="H79" s="187"/>
      <c r="I79" s="186"/>
      <c r="J79" s="187"/>
      <c r="K79" s="51"/>
      <c r="L79" s="190"/>
      <c r="M79" s="191"/>
      <c r="N79" s="192"/>
      <c r="O79" s="188"/>
      <c r="P79" s="189"/>
      <c r="Q79" s="186"/>
      <c r="R79" s="187"/>
    </row>
    <row r="80" spans="2:18">
      <c r="B80" s="185"/>
      <c r="C80" s="186"/>
      <c r="D80" s="187"/>
      <c r="E80" s="188"/>
      <c r="F80" s="189"/>
      <c r="G80" s="186"/>
      <c r="H80" s="187"/>
      <c r="I80" s="186"/>
      <c r="J80" s="187"/>
      <c r="K80" s="51"/>
      <c r="L80" s="190"/>
      <c r="M80" s="191"/>
      <c r="N80" s="192"/>
      <c r="O80" s="188"/>
      <c r="P80" s="189"/>
      <c r="Q80" s="186"/>
      <c r="R80" s="187"/>
    </row>
    <row r="81" spans="2:18">
      <c r="B81" s="185"/>
      <c r="C81" s="186"/>
      <c r="D81" s="187"/>
      <c r="E81" s="188"/>
      <c r="F81" s="189"/>
      <c r="G81" s="186"/>
      <c r="H81" s="187"/>
      <c r="I81" s="186"/>
      <c r="J81" s="187"/>
      <c r="K81" s="51"/>
      <c r="L81" s="190"/>
      <c r="M81" s="191"/>
      <c r="N81" s="192"/>
      <c r="O81" s="188"/>
      <c r="P81" s="189"/>
      <c r="Q81" s="186"/>
      <c r="R81" s="187"/>
    </row>
    <row r="82" spans="2:18">
      <c r="B82" s="185"/>
      <c r="C82" s="186"/>
      <c r="D82" s="187"/>
      <c r="E82" s="188"/>
      <c r="F82" s="189"/>
      <c r="G82" s="186"/>
      <c r="H82" s="187"/>
      <c r="I82" s="186"/>
      <c r="J82" s="187"/>
      <c r="K82" s="51"/>
      <c r="L82" s="190"/>
      <c r="M82" s="191"/>
      <c r="N82" s="192"/>
      <c r="O82" s="188"/>
      <c r="P82" s="189"/>
      <c r="Q82" s="186"/>
      <c r="R82" s="187"/>
    </row>
    <row r="83" spans="2:18">
      <c r="B83" s="185"/>
      <c r="C83" s="186"/>
      <c r="D83" s="187"/>
      <c r="E83" s="188"/>
      <c r="F83" s="189"/>
      <c r="G83" s="186"/>
      <c r="H83" s="187"/>
      <c r="I83" s="186"/>
      <c r="J83" s="187"/>
      <c r="K83" s="51"/>
      <c r="L83" s="190"/>
      <c r="M83" s="191"/>
      <c r="N83" s="192"/>
      <c r="O83" s="188"/>
      <c r="P83" s="189"/>
      <c r="Q83" s="186"/>
      <c r="R83" s="187"/>
    </row>
    <row r="84" spans="2:18">
      <c r="B84" s="185"/>
      <c r="C84" s="186"/>
      <c r="D84" s="187"/>
      <c r="E84" s="188"/>
      <c r="F84" s="189"/>
      <c r="G84" s="186"/>
      <c r="H84" s="187"/>
      <c r="I84" s="186"/>
      <c r="J84" s="187"/>
      <c r="K84" s="51"/>
      <c r="L84" s="190"/>
      <c r="M84" s="191"/>
      <c r="N84" s="192"/>
      <c r="O84" s="188"/>
      <c r="P84" s="189"/>
      <c r="Q84" s="186"/>
      <c r="R84" s="187"/>
    </row>
    <row r="85" spans="2:18">
      <c r="B85" s="185"/>
      <c r="C85" s="186"/>
      <c r="D85" s="187"/>
      <c r="E85" s="188"/>
      <c r="F85" s="189"/>
      <c r="G85" s="186"/>
      <c r="H85" s="187"/>
      <c r="I85" s="186"/>
      <c r="J85" s="187"/>
      <c r="K85" s="51"/>
      <c r="L85" s="190"/>
      <c r="M85" s="191"/>
      <c r="N85" s="192"/>
      <c r="O85" s="188"/>
      <c r="P85" s="189"/>
      <c r="Q85" s="186"/>
      <c r="R85" s="187"/>
    </row>
    <row r="86" spans="2:18">
      <c r="B86" s="185"/>
      <c r="C86" s="186"/>
      <c r="D86" s="187"/>
      <c r="E86" s="188"/>
      <c r="F86" s="189"/>
      <c r="G86" s="186"/>
      <c r="H86" s="187"/>
      <c r="I86" s="186"/>
      <c r="J86" s="187"/>
      <c r="K86" s="51"/>
      <c r="L86" s="190"/>
      <c r="M86" s="191"/>
      <c r="N86" s="192"/>
      <c r="O86" s="188"/>
      <c r="P86" s="189"/>
      <c r="Q86" s="186"/>
      <c r="R86" s="187"/>
    </row>
    <row r="87" spans="2:18">
      <c r="B87" s="185"/>
      <c r="C87" s="186"/>
      <c r="D87" s="187"/>
      <c r="E87" s="188"/>
      <c r="F87" s="189"/>
      <c r="G87" s="186"/>
      <c r="H87" s="187"/>
      <c r="I87" s="186"/>
      <c r="J87" s="187"/>
      <c r="K87" s="51"/>
      <c r="L87" s="190"/>
      <c r="M87" s="191"/>
      <c r="N87" s="192"/>
      <c r="O87" s="188"/>
      <c r="P87" s="189"/>
      <c r="Q87" s="186"/>
      <c r="R87" s="187"/>
    </row>
    <row r="88" spans="2:18">
      <c r="B88" s="185"/>
      <c r="C88" s="186"/>
      <c r="D88" s="187"/>
      <c r="E88" s="188"/>
      <c r="F88" s="189"/>
      <c r="G88" s="186"/>
      <c r="H88" s="187"/>
      <c r="I88" s="186"/>
      <c r="J88" s="187"/>
      <c r="K88" s="51"/>
      <c r="L88" s="190"/>
      <c r="M88" s="191"/>
      <c r="N88" s="192"/>
      <c r="O88" s="188"/>
      <c r="P88" s="189"/>
      <c r="Q88" s="186"/>
      <c r="R88" s="187"/>
    </row>
    <row r="89" spans="2:18">
      <c r="B89" s="185"/>
      <c r="C89" s="186"/>
      <c r="D89" s="187"/>
      <c r="E89" s="188"/>
      <c r="F89" s="189"/>
      <c r="G89" s="186"/>
      <c r="H89" s="187"/>
      <c r="I89" s="186"/>
      <c r="J89" s="187"/>
      <c r="K89" s="51"/>
      <c r="L89" s="190"/>
      <c r="M89" s="191"/>
      <c r="N89" s="192"/>
      <c r="O89" s="188"/>
      <c r="P89" s="189"/>
      <c r="Q89" s="186"/>
      <c r="R89" s="187"/>
    </row>
    <row r="90" spans="2:18">
      <c r="B90" s="185"/>
      <c r="C90" s="186"/>
      <c r="D90" s="187"/>
      <c r="E90" s="188"/>
      <c r="F90" s="189"/>
      <c r="G90" s="186"/>
      <c r="H90" s="187"/>
      <c r="I90" s="186"/>
      <c r="J90" s="187"/>
      <c r="K90" s="51"/>
      <c r="L90" s="190"/>
      <c r="M90" s="191"/>
      <c r="N90" s="192"/>
      <c r="O90" s="188"/>
      <c r="P90" s="189"/>
      <c r="Q90" s="186"/>
      <c r="R90" s="187"/>
    </row>
    <row r="91" spans="2:18">
      <c r="B91" s="185"/>
      <c r="C91" s="186"/>
      <c r="D91" s="187"/>
      <c r="E91" s="188"/>
      <c r="F91" s="189"/>
      <c r="G91" s="186"/>
      <c r="H91" s="187"/>
      <c r="I91" s="186"/>
      <c r="J91" s="187"/>
      <c r="K91" s="51"/>
      <c r="L91" s="190"/>
      <c r="M91" s="191"/>
      <c r="N91" s="192"/>
      <c r="O91" s="188"/>
      <c r="P91" s="189"/>
      <c r="Q91" s="186"/>
      <c r="R91" s="187"/>
    </row>
    <row r="92" spans="2:18">
      <c r="B92" s="185"/>
      <c r="C92" s="186"/>
      <c r="D92" s="187"/>
      <c r="E92" s="188"/>
      <c r="F92" s="189"/>
      <c r="G92" s="186"/>
      <c r="H92" s="187"/>
      <c r="I92" s="186"/>
      <c r="J92" s="187"/>
      <c r="K92" s="51"/>
      <c r="L92" s="190"/>
      <c r="M92" s="191"/>
      <c r="N92" s="192"/>
      <c r="O92" s="188"/>
      <c r="P92" s="189"/>
      <c r="Q92" s="186"/>
      <c r="R92" s="187"/>
    </row>
    <row r="93" spans="2:18">
      <c r="B93" s="185"/>
      <c r="C93" s="186"/>
      <c r="D93" s="187"/>
      <c r="E93" s="188"/>
      <c r="F93" s="189"/>
      <c r="G93" s="186"/>
      <c r="H93" s="187"/>
      <c r="I93" s="186"/>
      <c r="J93" s="187"/>
      <c r="K93" s="51"/>
      <c r="L93" s="190"/>
      <c r="M93" s="191"/>
      <c r="N93" s="192"/>
      <c r="O93" s="188"/>
      <c r="P93" s="189"/>
      <c r="Q93" s="186"/>
      <c r="R93" s="187"/>
    </row>
    <row r="94" spans="2:18">
      <c r="B94" s="185"/>
      <c r="C94" s="186"/>
      <c r="D94" s="187"/>
      <c r="E94" s="188"/>
      <c r="F94" s="189"/>
      <c r="G94" s="186"/>
      <c r="H94" s="187"/>
      <c r="I94" s="186"/>
      <c r="J94" s="187"/>
      <c r="K94" s="51"/>
      <c r="L94" s="190"/>
      <c r="M94" s="191"/>
      <c r="N94" s="192"/>
      <c r="O94" s="188"/>
      <c r="P94" s="189"/>
      <c r="Q94" s="186"/>
      <c r="R94" s="187"/>
    </row>
    <row r="95" spans="2:18">
      <c r="B95" s="185"/>
      <c r="C95" s="186"/>
      <c r="D95" s="187"/>
      <c r="E95" s="188"/>
      <c r="F95" s="189"/>
      <c r="G95" s="186"/>
      <c r="H95" s="187"/>
      <c r="I95" s="186"/>
      <c r="J95" s="187"/>
      <c r="K95" s="51"/>
      <c r="L95" s="190"/>
      <c r="M95" s="191"/>
      <c r="N95" s="192"/>
      <c r="O95" s="188"/>
      <c r="P95" s="189"/>
      <c r="Q95" s="186"/>
      <c r="R95" s="187"/>
    </row>
    <row r="96" spans="2:18">
      <c r="B96" s="185"/>
      <c r="C96" s="186"/>
      <c r="D96" s="187"/>
      <c r="E96" s="188"/>
      <c r="F96" s="189"/>
      <c r="G96" s="186"/>
      <c r="H96" s="187"/>
      <c r="I96" s="186"/>
      <c r="J96" s="187"/>
      <c r="K96" s="51"/>
      <c r="L96" s="190"/>
      <c r="M96" s="191"/>
      <c r="N96" s="192"/>
      <c r="O96" s="188"/>
      <c r="P96" s="189"/>
      <c r="Q96" s="186"/>
      <c r="R96" s="187"/>
    </row>
    <row r="97" spans="2:18">
      <c r="B97" s="185"/>
      <c r="C97" s="186"/>
      <c r="D97" s="187"/>
      <c r="E97" s="188"/>
      <c r="F97" s="189"/>
      <c r="G97" s="186"/>
      <c r="H97" s="187"/>
      <c r="I97" s="186"/>
      <c r="J97" s="187"/>
      <c r="K97" s="51"/>
      <c r="L97" s="190"/>
      <c r="M97" s="191"/>
      <c r="N97" s="192"/>
      <c r="O97" s="188"/>
      <c r="P97" s="189"/>
      <c r="Q97" s="186"/>
      <c r="R97" s="187"/>
    </row>
    <row r="98" spans="2:18">
      <c r="B98" s="185"/>
      <c r="C98" s="186"/>
      <c r="D98" s="187"/>
      <c r="E98" s="188"/>
      <c r="F98" s="189"/>
      <c r="G98" s="186"/>
      <c r="H98" s="187"/>
      <c r="I98" s="186"/>
      <c r="J98" s="187"/>
      <c r="K98" s="51"/>
      <c r="L98" s="190"/>
      <c r="M98" s="191"/>
      <c r="N98" s="192"/>
      <c r="O98" s="188"/>
      <c r="P98" s="189"/>
      <c r="Q98" s="186"/>
      <c r="R98" s="187"/>
    </row>
    <row r="99" spans="2:18">
      <c r="B99" s="185"/>
      <c r="C99" s="186"/>
      <c r="D99" s="187"/>
      <c r="E99" s="188"/>
      <c r="F99" s="189"/>
      <c r="G99" s="186"/>
      <c r="H99" s="187"/>
      <c r="I99" s="186"/>
      <c r="J99" s="187"/>
      <c r="K99" s="51"/>
      <c r="L99" s="190"/>
      <c r="M99" s="191"/>
      <c r="N99" s="192"/>
      <c r="O99" s="188"/>
      <c r="P99" s="189"/>
      <c r="Q99" s="186"/>
      <c r="R99" s="187"/>
    </row>
    <row r="100" spans="2:18">
      <c r="B100" s="185"/>
      <c r="C100" s="186"/>
      <c r="D100" s="187"/>
      <c r="E100" s="188"/>
      <c r="F100" s="189"/>
      <c r="G100" s="186"/>
      <c r="H100" s="187"/>
      <c r="I100" s="186"/>
      <c r="J100" s="187"/>
      <c r="K100" s="51"/>
      <c r="L100" s="190"/>
      <c r="M100" s="191"/>
      <c r="N100" s="192"/>
      <c r="O100" s="188"/>
      <c r="P100" s="189"/>
      <c r="Q100" s="186"/>
      <c r="R100" s="187"/>
    </row>
    <row r="101" spans="2:18">
      <c r="B101" s="185"/>
      <c r="C101" s="186"/>
      <c r="D101" s="187"/>
      <c r="E101" s="188"/>
      <c r="F101" s="189"/>
      <c r="G101" s="186"/>
      <c r="H101" s="187"/>
      <c r="I101" s="186"/>
      <c r="J101" s="187"/>
      <c r="K101" s="51"/>
      <c r="L101" s="190"/>
      <c r="M101" s="191"/>
      <c r="N101" s="192"/>
      <c r="O101" s="188"/>
      <c r="P101" s="189"/>
      <c r="Q101" s="186"/>
      <c r="R101" s="187"/>
    </row>
    <row r="102" spans="2:18">
      <c r="B102" s="185"/>
      <c r="C102" s="186"/>
      <c r="D102" s="187"/>
      <c r="E102" s="188"/>
      <c r="F102" s="189"/>
      <c r="G102" s="186"/>
      <c r="H102" s="187"/>
      <c r="I102" s="186"/>
      <c r="J102" s="187"/>
      <c r="K102" s="51"/>
      <c r="L102" s="190"/>
      <c r="M102" s="191"/>
      <c r="N102" s="192"/>
      <c r="O102" s="188"/>
      <c r="P102" s="189"/>
      <c r="Q102" s="186"/>
      <c r="R102" s="187"/>
    </row>
    <row r="103" spans="2:18">
      <c r="B103" s="185"/>
      <c r="C103" s="186"/>
      <c r="D103" s="187"/>
      <c r="E103" s="188"/>
      <c r="F103" s="189"/>
      <c r="G103" s="186"/>
      <c r="H103" s="187"/>
      <c r="I103" s="186"/>
      <c r="J103" s="187"/>
      <c r="K103" s="51"/>
      <c r="L103" s="190"/>
      <c r="M103" s="191"/>
      <c r="N103" s="192"/>
      <c r="O103" s="188"/>
      <c r="P103" s="189"/>
      <c r="Q103" s="186"/>
      <c r="R103" s="187"/>
    </row>
    <row r="104" spans="2:18">
      <c r="B104" s="185"/>
      <c r="C104" s="186"/>
      <c r="D104" s="187"/>
      <c r="E104" s="188"/>
      <c r="F104" s="189"/>
      <c r="G104" s="186"/>
      <c r="H104" s="187"/>
      <c r="I104" s="186"/>
      <c r="J104" s="187"/>
      <c r="K104" s="51"/>
      <c r="L104" s="190"/>
      <c r="M104" s="191"/>
      <c r="N104" s="192"/>
      <c r="O104" s="188"/>
      <c r="P104" s="189"/>
      <c r="Q104" s="186"/>
      <c r="R104" s="187"/>
    </row>
    <row r="105" spans="2:18">
      <c r="B105" s="185"/>
      <c r="C105" s="186"/>
      <c r="D105" s="187"/>
      <c r="E105" s="188"/>
      <c r="F105" s="189"/>
      <c r="G105" s="186"/>
      <c r="H105" s="187"/>
      <c r="I105" s="186"/>
      <c r="J105" s="187"/>
      <c r="K105" s="51"/>
      <c r="L105" s="190"/>
      <c r="M105" s="191"/>
      <c r="N105" s="192"/>
      <c r="O105" s="188"/>
      <c r="P105" s="189"/>
      <c r="Q105" s="186"/>
      <c r="R105" s="187"/>
    </row>
    <row r="106" spans="2:18">
      <c r="B106" s="185"/>
      <c r="C106" s="186"/>
      <c r="D106" s="187"/>
      <c r="E106" s="188"/>
      <c r="F106" s="189"/>
      <c r="G106" s="186"/>
      <c r="H106" s="187"/>
      <c r="I106" s="186"/>
      <c r="J106" s="187"/>
      <c r="K106" s="51"/>
      <c r="L106" s="190"/>
      <c r="M106" s="191"/>
      <c r="N106" s="192"/>
      <c r="O106" s="188"/>
      <c r="P106" s="189"/>
      <c r="Q106" s="186"/>
      <c r="R106" s="187"/>
    </row>
    <row r="107" spans="2:18">
      <c r="B107" s="185"/>
      <c r="C107" s="186"/>
      <c r="D107" s="187"/>
      <c r="E107" s="188"/>
      <c r="F107" s="189"/>
      <c r="G107" s="186"/>
      <c r="H107" s="187"/>
      <c r="I107" s="186"/>
      <c r="J107" s="187"/>
      <c r="K107" s="51"/>
      <c r="L107" s="190"/>
      <c r="M107" s="191"/>
      <c r="N107" s="192"/>
      <c r="O107" s="188"/>
      <c r="P107" s="189"/>
      <c r="Q107" s="186"/>
      <c r="R107" s="187"/>
    </row>
    <row r="108" spans="2:18">
      <c r="B108" s="185"/>
      <c r="C108" s="186"/>
      <c r="D108" s="187"/>
      <c r="E108" s="188"/>
      <c r="F108" s="189"/>
      <c r="G108" s="186"/>
      <c r="H108" s="187"/>
      <c r="I108" s="186"/>
      <c r="J108" s="187"/>
      <c r="K108" s="51"/>
      <c r="L108" s="190"/>
      <c r="M108" s="191"/>
      <c r="N108" s="192"/>
      <c r="O108" s="188"/>
      <c r="P108" s="189"/>
      <c r="Q108" s="186"/>
      <c r="R108" s="187"/>
    </row>
    <row r="109" spans="2:18">
      <c r="B109" s="185"/>
      <c r="C109" s="186"/>
      <c r="D109" s="187"/>
      <c r="E109" s="188"/>
      <c r="F109" s="189"/>
      <c r="G109" s="186"/>
      <c r="H109" s="187"/>
      <c r="I109" s="186"/>
      <c r="J109" s="187"/>
      <c r="K109" s="51"/>
      <c r="L109" s="190"/>
      <c r="M109" s="191"/>
      <c r="N109" s="192"/>
      <c r="O109" s="188"/>
      <c r="P109" s="189"/>
      <c r="Q109" s="186"/>
      <c r="R109" s="187"/>
    </row>
    <row r="110" spans="2:18">
      <c r="B110" s="185"/>
      <c r="C110" s="186"/>
      <c r="D110" s="187"/>
      <c r="E110" s="188"/>
      <c r="F110" s="189"/>
      <c r="G110" s="186"/>
      <c r="H110" s="187"/>
      <c r="I110" s="186"/>
      <c r="J110" s="187"/>
      <c r="K110" s="51"/>
      <c r="L110" s="190"/>
      <c r="M110" s="191"/>
      <c r="N110" s="192"/>
      <c r="O110" s="188"/>
      <c r="P110" s="189"/>
      <c r="Q110" s="186"/>
      <c r="R110" s="187"/>
    </row>
    <row r="111" spans="2:18">
      <c r="B111" s="185"/>
      <c r="C111" s="186"/>
      <c r="D111" s="187"/>
      <c r="E111" s="188"/>
      <c r="F111" s="189"/>
      <c r="G111" s="186"/>
      <c r="H111" s="187"/>
      <c r="I111" s="186"/>
      <c r="J111" s="187"/>
      <c r="K111" s="51"/>
      <c r="L111" s="190"/>
      <c r="M111" s="191"/>
      <c r="N111" s="192"/>
      <c r="O111" s="188"/>
      <c r="P111" s="189"/>
      <c r="Q111" s="186"/>
      <c r="R111" s="187"/>
    </row>
    <row r="112" spans="2:18">
      <c r="B112" s="185"/>
      <c r="C112" s="186"/>
      <c r="D112" s="187"/>
      <c r="E112" s="188"/>
      <c r="F112" s="189"/>
      <c r="G112" s="186"/>
      <c r="H112" s="187"/>
      <c r="I112" s="186"/>
      <c r="J112" s="187"/>
      <c r="K112" s="51"/>
      <c r="L112" s="190"/>
      <c r="M112" s="191"/>
      <c r="N112" s="192"/>
      <c r="O112" s="188"/>
      <c r="P112" s="189"/>
      <c r="Q112" s="186"/>
      <c r="R112" s="187"/>
    </row>
    <row r="113" spans="2:18">
      <c r="B113" s="185"/>
      <c r="C113" s="186"/>
      <c r="D113" s="187"/>
      <c r="E113" s="188"/>
      <c r="F113" s="189"/>
      <c r="G113" s="186"/>
      <c r="H113" s="187"/>
      <c r="I113" s="186"/>
      <c r="J113" s="187"/>
      <c r="K113" s="51"/>
      <c r="L113" s="190"/>
      <c r="M113" s="191"/>
      <c r="N113" s="192"/>
      <c r="O113" s="188"/>
      <c r="P113" s="189"/>
      <c r="Q113" s="186"/>
      <c r="R113" s="187"/>
    </row>
    <row r="114" spans="2:18">
      <c r="B114" s="185"/>
      <c r="C114" s="186"/>
      <c r="D114" s="187"/>
      <c r="E114" s="188"/>
      <c r="F114" s="189"/>
      <c r="G114" s="186"/>
      <c r="H114" s="187"/>
      <c r="I114" s="186"/>
      <c r="J114" s="187"/>
      <c r="K114" s="51"/>
      <c r="L114" s="190"/>
      <c r="M114" s="191"/>
      <c r="N114" s="192"/>
      <c r="O114" s="188"/>
      <c r="P114" s="189"/>
      <c r="Q114" s="186"/>
      <c r="R114" s="187"/>
    </row>
    <row r="115" spans="2:18">
      <c r="B115" s="185"/>
      <c r="C115" s="186"/>
      <c r="D115" s="187"/>
      <c r="E115" s="188"/>
      <c r="F115" s="189"/>
      <c r="G115" s="186"/>
      <c r="H115" s="187"/>
      <c r="I115" s="186"/>
      <c r="J115" s="187"/>
      <c r="K115" s="51"/>
      <c r="L115" s="190"/>
      <c r="M115" s="191"/>
      <c r="N115" s="192"/>
      <c r="O115" s="188"/>
      <c r="P115" s="189"/>
      <c r="Q115" s="186"/>
      <c r="R115" s="187"/>
    </row>
    <row r="116" spans="2:18">
      <c r="B116" s="185"/>
      <c r="C116" s="186"/>
      <c r="D116" s="187"/>
      <c r="E116" s="188"/>
      <c r="F116" s="189"/>
      <c r="G116" s="186"/>
      <c r="H116" s="187"/>
      <c r="I116" s="186"/>
      <c r="J116" s="187"/>
      <c r="K116" s="51"/>
      <c r="L116" s="190"/>
      <c r="M116" s="191"/>
      <c r="N116" s="192"/>
      <c r="O116" s="188"/>
      <c r="P116" s="189"/>
      <c r="Q116" s="186"/>
      <c r="R116" s="187"/>
    </row>
    <row r="117" spans="2:18">
      <c r="B117" s="185"/>
      <c r="C117" s="186"/>
      <c r="D117" s="187"/>
      <c r="E117" s="188"/>
      <c r="F117" s="189"/>
      <c r="G117" s="186"/>
      <c r="H117" s="187"/>
      <c r="I117" s="186"/>
      <c r="J117" s="187"/>
      <c r="K117" s="51"/>
      <c r="L117" s="190"/>
      <c r="M117" s="191"/>
      <c r="N117" s="192"/>
      <c r="O117" s="188"/>
      <c r="P117" s="189"/>
      <c r="Q117" s="186"/>
      <c r="R117" s="187"/>
    </row>
    <row r="118" spans="2:18">
      <c r="B118" s="185"/>
      <c r="C118" s="186"/>
      <c r="D118" s="187"/>
      <c r="E118" s="188"/>
      <c r="F118" s="189"/>
      <c r="G118" s="186"/>
      <c r="H118" s="187"/>
      <c r="I118" s="186"/>
      <c r="J118" s="187"/>
      <c r="K118" s="51"/>
      <c r="L118" s="190"/>
      <c r="M118" s="191"/>
      <c r="N118" s="192"/>
      <c r="O118" s="188"/>
      <c r="P118" s="189"/>
      <c r="Q118" s="186"/>
      <c r="R118" s="187"/>
    </row>
    <row r="119" spans="2:18">
      <c r="B119" s="185"/>
      <c r="C119" s="186"/>
      <c r="D119" s="187"/>
      <c r="E119" s="188"/>
      <c r="F119" s="189"/>
      <c r="G119" s="186"/>
      <c r="H119" s="187"/>
      <c r="I119" s="186"/>
      <c r="J119" s="187"/>
      <c r="K119" s="51"/>
      <c r="L119" s="190"/>
      <c r="M119" s="191"/>
      <c r="N119" s="192"/>
      <c r="O119" s="188"/>
      <c r="P119" s="189"/>
      <c r="Q119" s="186"/>
      <c r="R119" s="187"/>
    </row>
    <row r="120" spans="2:18">
      <c r="B120" s="185"/>
      <c r="C120" s="186"/>
      <c r="D120" s="187"/>
      <c r="E120" s="188"/>
      <c r="F120" s="189"/>
      <c r="G120" s="186"/>
      <c r="H120" s="187"/>
      <c r="I120" s="186"/>
      <c r="J120" s="187"/>
      <c r="K120" s="51"/>
      <c r="L120" s="190"/>
      <c r="M120" s="191"/>
      <c r="N120" s="192"/>
      <c r="O120" s="188"/>
      <c r="P120" s="189"/>
      <c r="Q120" s="186"/>
      <c r="R120" s="187"/>
    </row>
    <row r="121" spans="2:18">
      <c r="B121" s="185"/>
      <c r="C121" s="186"/>
      <c r="D121" s="187"/>
      <c r="E121" s="188"/>
      <c r="F121" s="189"/>
      <c r="G121" s="186"/>
      <c r="H121" s="187"/>
      <c r="I121" s="186"/>
      <c r="J121" s="187"/>
      <c r="K121" s="51"/>
      <c r="L121" s="190"/>
      <c r="M121" s="191"/>
      <c r="N121" s="192"/>
      <c r="O121" s="188"/>
      <c r="P121" s="189"/>
      <c r="Q121" s="186"/>
      <c r="R121" s="187"/>
    </row>
    <row r="122" spans="2:18">
      <c r="B122" s="185"/>
      <c r="C122" s="186"/>
      <c r="D122" s="187"/>
      <c r="E122" s="188"/>
      <c r="F122" s="189"/>
      <c r="G122" s="186"/>
      <c r="H122" s="187"/>
      <c r="I122" s="186"/>
      <c r="J122" s="187"/>
      <c r="K122" s="51"/>
      <c r="L122" s="190"/>
      <c r="M122" s="191"/>
      <c r="N122" s="192"/>
      <c r="O122" s="188"/>
      <c r="P122" s="189"/>
      <c r="Q122" s="186"/>
      <c r="R122" s="187"/>
    </row>
    <row r="123" spans="2:18">
      <c r="B123" s="185"/>
      <c r="C123" s="186"/>
      <c r="D123" s="187"/>
      <c r="E123" s="188"/>
      <c r="F123" s="189"/>
      <c r="G123" s="186"/>
      <c r="H123" s="187"/>
      <c r="I123" s="186"/>
      <c r="J123" s="187"/>
      <c r="K123" s="51"/>
      <c r="L123" s="190"/>
      <c r="M123" s="191"/>
      <c r="N123" s="192"/>
      <c r="O123" s="188"/>
      <c r="P123" s="189"/>
      <c r="Q123" s="186"/>
      <c r="R123" s="187"/>
    </row>
    <row r="124" spans="2:18">
      <c r="B124" s="185"/>
      <c r="C124" s="186"/>
      <c r="D124" s="187"/>
      <c r="E124" s="188"/>
      <c r="F124" s="189"/>
      <c r="G124" s="186"/>
      <c r="H124" s="187"/>
      <c r="I124" s="186"/>
      <c r="J124" s="187"/>
      <c r="K124" s="51"/>
      <c r="L124" s="190"/>
      <c r="M124" s="191"/>
      <c r="N124" s="192"/>
      <c r="O124" s="188"/>
      <c r="P124" s="189"/>
      <c r="Q124" s="186"/>
      <c r="R124" s="187"/>
    </row>
    <row r="125" spans="2:18">
      <c r="B125" s="185"/>
      <c r="C125" s="186"/>
      <c r="D125" s="187"/>
      <c r="E125" s="188"/>
      <c r="F125" s="189"/>
      <c r="G125" s="186"/>
      <c r="H125" s="187"/>
      <c r="I125" s="186"/>
      <c r="J125" s="187"/>
      <c r="K125" s="51"/>
      <c r="L125" s="190"/>
      <c r="M125" s="191"/>
      <c r="N125" s="192"/>
      <c r="O125" s="188"/>
      <c r="P125" s="189"/>
      <c r="Q125" s="186"/>
      <c r="R125" s="187"/>
    </row>
    <row r="126" spans="2:18">
      <c r="B126" s="185"/>
      <c r="C126" s="186"/>
      <c r="D126" s="187"/>
      <c r="E126" s="188"/>
      <c r="F126" s="189"/>
      <c r="G126" s="186"/>
      <c r="H126" s="187"/>
      <c r="I126" s="186"/>
      <c r="J126" s="187"/>
      <c r="K126" s="51"/>
      <c r="L126" s="190"/>
      <c r="M126" s="191"/>
      <c r="N126" s="192"/>
      <c r="O126" s="188"/>
      <c r="P126" s="189"/>
      <c r="Q126" s="186"/>
      <c r="R126" s="187"/>
    </row>
    <row r="127" spans="2:18">
      <c r="B127" s="185"/>
      <c r="C127" s="186"/>
      <c r="D127" s="187"/>
      <c r="E127" s="188"/>
      <c r="F127" s="189"/>
      <c r="G127" s="186"/>
      <c r="H127" s="187"/>
      <c r="I127" s="186"/>
      <c r="J127" s="187"/>
      <c r="K127" s="51"/>
      <c r="L127" s="190"/>
      <c r="M127" s="191"/>
      <c r="N127" s="192"/>
      <c r="O127" s="188"/>
      <c r="P127" s="189"/>
      <c r="Q127" s="186"/>
      <c r="R127" s="187"/>
    </row>
    <row r="128" spans="2:18">
      <c r="B128" s="185"/>
      <c r="C128" s="186"/>
      <c r="D128" s="187"/>
      <c r="E128" s="188"/>
      <c r="F128" s="189"/>
      <c r="G128" s="186"/>
      <c r="H128" s="187"/>
      <c r="I128" s="186"/>
      <c r="J128" s="187"/>
      <c r="K128" s="51"/>
      <c r="L128" s="190"/>
      <c r="M128" s="191"/>
      <c r="N128" s="192"/>
      <c r="O128" s="188"/>
      <c r="P128" s="189"/>
      <c r="Q128" s="186"/>
      <c r="R128" s="187"/>
    </row>
    <row r="129" spans="2:18">
      <c r="B129" s="185"/>
      <c r="C129" s="186"/>
      <c r="D129" s="187"/>
      <c r="E129" s="188"/>
      <c r="F129" s="189"/>
      <c r="G129" s="186"/>
      <c r="H129" s="187"/>
      <c r="I129" s="186"/>
      <c r="J129" s="187"/>
      <c r="K129" s="51"/>
      <c r="L129" s="190"/>
      <c r="M129" s="191"/>
      <c r="N129" s="192"/>
      <c r="O129" s="188"/>
      <c r="P129" s="189"/>
      <c r="Q129" s="186"/>
      <c r="R129" s="187"/>
    </row>
    <row r="130" spans="2:18">
      <c r="B130" s="185"/>
      <c r="C130" s="186"/>
      <c r="D130" s="187"/>
      <c r="E130" s="188"/>
      <c r="F130" s="189"/>
      <c r="G130" s="186"/>
      <c r="H130" s="187"/>
      <c r="I130" s="186"/>
      <c r="J130" s="187"/>
      <c r="K130" s="51"/>
      <c r="L130" s="190"/>
      <c r="M130" s="191"/>
      <c r="N130" s="192"/>
      <c r="O130" s="188"/>
      <c r="P130" s="189"/>
      <c r="Q130" s="186"/>
      <c r="R130" s="187"/>
    </row>
    <row r="131" spans="2:18">
      <c r="B131" s="185"/>
      <c r="C131" s="186"/>
      <c r="D131" s="187"/>
      <c r="E131" s="188"/>
      <c r="F131" s="189"/>
      <c r="G131" s="186"/>
      <c r="H131" s="187"/>
      <c r="I131" s="186"/>
      <c r="J131" s="187"/>
      <c r="K131" s="51"/>
      <c r="L131" s="190"/>
      <c r="M131" s="191"/>
      <c r="N131" s="192"/>
      <c r="O131" s="188"/>
      <c r="P131" s="189"/>
      <c r="Q131" s="186"/>
      <c r="R131" s="187"/>
    </row>
    <row r="132" spans="2:18">
      <c r="B132" s="185"/>
      <c r="C132" s="186"/>
      <c r="D132" s="187"/>
      <c r="E132" s="188"/>
      <c r="F132" s="189"/>
      <c r="G132" s="186"/>
      <c r="H132" s="187"/>
      <c r="I132" s="186"/>
      <c r="J132" s="187"/>
      <c r="K132" s="51"/>
      <c r="L132" s="190"/>
      <c r="M132" s="191"/>
      <c r="N132" s="192"/>
      <c r="O132" s="188"/>
      <c r="P132" s="189"/>
      <c r="Q132" s="186"/>
      <c r="R132" s="187"/>
    </row>
    <row r="133" spans="2:18">
      <c r="B133" s="185"/>
      <c r="C133" s="186"/>
      <c r="D133" s="187"/>
      <c r="E133" s="188"/>
      <c r="F133" s="189"/>
      <c r="G133" s="186"/>
      <c r="H133" s="187"/>
      <c r="I133" s="186"/>
      <c r="J133" s="187"/>
      <c r="K133" s="51"/>
      <c r="L133" s="190"/>
      <c r="M133" s="191"/>
      <c r="N133" s="192"/>
      <c r="O133" s="188"/>
      <c r="P133" s="189"/>
      <c r="Q133" s="186"/>
      <c r="R133" s="187"/>
    </row>
    <row r="134" spans="2:18">
      <c r="B134" s="185"/>
      <c r="C134" s="186"/>
      <c r="D134" s="187"/>
      <c r="E134" s="188"/>
      <c r="F134" s="189"/>
      <c r="G134" s="186"/>
      <c r="H134" s="187"/>
      <c r="I134" s="186"/>
      <c r="J134" s="187"/>
      <c r="K134" s="51"/>
      <c r="L134" s="190"/>
      <c r="M134" s="191"/>
      <c r="N134" s="192"/>
      <c r="O134" s="188"/>
      <c r="P134" s="189"/>
      <c r="Q134" s="186"/>
      <c r="R134" s="187"/>
    </row>
    <row r="135" spans="2:18">
      <c r="B135" s="185"/>
      <c r="C135" s="186"/>
      <c r="D135" s="187"/>
      <c r="E135" s="188"/>
      <c r="F135" s="189"/>
      <c r="G135" s="186"/>
      <c r="H135" s="187"/>
      <c r="I135" s="186"/>
      <c r="J135" s="187"/>
      <c r="K135" s="51"/>
      <c r="L135" s="190"/>
      <c r="M135" s="191"/>
      <c r="N135" s="192"/>
      <c r="O135" s="188"/>
      <c r="P135" s="189"/>
      <c r="Q135" s="186"/>
      <c r="R135" s="187"/>
    </row>
    <row r="136" spans="2:18">
      <c r="B136" s="185"/>
      <c r="C136" s="186"/>
      <c r="D136" s="187"/>
      <c r="E136" s="188"/>
      <c r="F136" s="189"/>
      <c r="G136" s="186"/>
      <c r="H136" s="187"/>
      <c r="I136" s="186"/>
      <c r="J136" s="187"/>
      <c r="K136" s="51"/>
      <c r="L136" s="190"/>
      <c r="M136" s="191"/>
      <c r="N136" s="192"/>
      <c r="O136" s="188"/>
      <c r="P136" s="189"/>
      <c r="Q136" s="186"/>
      <c r="R136" s="187"/>
    </row>
    <row r="137" spans="2:18">
      <c r="B137" s="185"/>
      <c r="C137" s="186"/>
      <c r="D137" s="187"/>
      <c r="E137" s="188"/>
      <c r="F137" s="189"/>
      <c r="G137" s="186"/>
      <c r="H137" s="187"/>
      <c r="I137" s="186"/>
      <c r="J137" s="187"/>
      <c r="K137" s="51"/>
      <c r="L137" s="190"/>
      <c r="M137" s="191"/>
      <c r="N137" s="192"/>
      <c r="O137" s="188"/>
      <c r="P137" s="189"/>
      <c r="Q137" s="186"/>
      <c r="R137" s="187"/>
    </row>
    <row r="138" spans="2:18">
      <c r="B138" s="185"/>
      <c r="C138" s="186"/>
      <c r="D138" s="187"/>
      <c r="E138" s="188"/>
      <c r="F138" s="189"/>
      <c r="G138" s="186"/>
      <c r="H138" s="187"/>
      <c r="I138" s="186"/>
      <c r="J138" s="187"/>
      <c r="K138" s="51"/>
      <c r="L138" s="190"/>
      <c r="M138" s="191"/>
      <c r="N138" s="192"/>
      <c r="O138" s="188"/>
      <c r="P138" s="189"/>
      <c r="Q138" s="186"/>
      <c r="R138" s="187"/>
    </row>
    <row r="139" spans="2:18">
      <c r="B139" s="185"/>
      <c r="C139" s="186"/>
      <c r="D139" s="187"/>
      <c r="E139" s="188"/>
      <c r="F139" s="189"/>
      <c r="G139" s="186"/>
      <c r="H139" s="187"/>
      <c r="I139" s="186"/>
      <c r="J139" s="187"/>
      <c r="K139" s="51"/>
      <c r="L139" s="190"/>
      <c r="M139" s="191"/>
      <c r="N139" s="192"/>
      <c r="O139" s="188"/>
      <c r="P139" s="189"/>
      <c r="Q139" s="186"/>
      <c r="R139" s="187"/>
    </row>
    <row r="140" spans="2:18">
      <c r="B140" s="185"/>
      <c r="C140" s="186"/>
      <c r="D140" s="187"/>
      <c r="E140" s="188"/>
      <c r="F140" s="189"/>
      <c r="G140" s="186"/>
      <c r="H140" s="187"/>
      <c r="I140" s="186"/>
      <c r="J140" s="187"/>
      <c r="K140" s="51"/>
      <c r="L140" s="190"/>
      <c r="M140" s="191"/>
      <c r="N140" s="192"/>
      <c r="O140" s="188"/>
      <c r="P140" s="189"/>
      <c r="Q140" s="186"/>
      <c r="R140" s="187"/>
    </row>
    <row r="141" spans="2:18">
      <c r="B141" s="185"/>
      <c r="C141" s="186"/>
      <c r="D141" s="187"/>
      <c r="E141" s="188"/>
      <c r="F141" s="189"/>
      <c r="G141" s="186"/>
      <c r="H141" s="187"/>
      <c r="I141" s="186"/>
      <c r="J141" s="187"/>
      <c r="K141" s="51"/>
      <c r="L141" s="190"/>
      <c r="M141" s="191"/>
      <c r="N141" s="192"/>
      <c r="O141" s="188"/>
      <c r="P141" s="189"/>
      <c r="Q141" s="186"/>
      <c r="R141" s="187"/>
    </row>
    <row r="142" spans="2:18">
      <c r="B142" s="185"/>
      <c r="C142" s="186"/>
      <c r="D142" s="187"/>
      <c r="E142" s="188"/>
      <c r="F142" s="189"/>
      <c r="G142" s="186"/>
      <c r="H142" s="187"/>
      <c r="I142" s="186"/>
      <c r="J142" s="187"/>
      <c r="K142" s="51"/>
      <c r="L142" s="190"/>
      <c r="M142" s="191"/>
      <c r="N142" s="192"/>
      <c r="O142" s="188"/>
      <c r="P142" s="189"/>
      <c r="Q142" s="186"/>
      <c r="R142" s="187"/>
    </row>
    <row r="143" spans="2:18">
      <c r="B143" s="185"/>
      <c r="C143" s="186"/>
      <c r="D143" s="187"/>
      <c r="E143" s="188"/>
      <c r="F143" s="189"/>
      <c r="G143" s="186"/>
      <c r="H143" s="187"/>
      <c r="I143" s="186"/>
      <c r="J143" s="187"/>
      <c r="K143" s="51"/>
      <c r="L143" s="190"/>
      <c r="M143" s="191"/>
      <c r="N143" s="192"/>
      <c r="O143" s="188"/>
      <c r="P143" s="189"/>
      <c r="Q143" s="186"/>
      <c r="R143" s="187"/>
    </row>
    <row r="144" spans="2:18">
      <c r="B144" s="185"/>
      <c r="C144" s="186"/>
      <c r="D144" s="187"/>
      <c r="E144" s="188"/>
      <c r="F144" s="189"/>
      <c r="G144" s="186"/>
      <c r="H144" s="187"/>
      <c r="I144" s="186"/>
      <c r="J144" s="187"/>
      <c r="K144" s="51"/>
      <c r="L144" s="190"/>
      <c r="M144" s="191"/>
      <c r="N144" s="192"/>
      <c r="O144" s="188"/>
      <c r="P144" s="189"/>
      <c r="Q144" s="186"/>
      <c r="R144" s="187"/>
    </row>
    <row r="145" spans="2:18">
      <c r="B145" s="185"/>
      <c r="C145" s="186"/>
      <c r="D145" s="187"/>
      <c r="E145" s="188"/>
      <c r="F145" s="189"/>
      <c r="G145" s="186"/>
      <c r="H145" s="187"/>
      <c r="I145" s="186"/>
      <c r="J145" s="187"/>
      <c r="K145" s="51"/>
      <c r="L145" s="190"/>
      <c r="M145" s="191"/>
      <c r="N145" s="192"/>
      <c r="O145" s="188"/>
      <c r="P145" s="189"/>
      <c r="Q145" s="186"/>
      <c r="R145" s="187"/>
    </row>
    <row r="146" spans="2:18">
      <c r="B146" s="185"/>
      <c r="C146" s="186"/>
      <c r="D146" s="187"/>
      <c r="E146" s="188"/>
      <c r="F146" s="189"/>
      <c r="G146" s="186"/>
      <c r="H146" s="187"/>
      <c r="I146" s="186"/>
      <c r="J146" s="187"/>
      <c r="K146" s="51"/>
      <c r="L146" s="190"/>
      <c r="M146" s="191"/>
      <c r="N146" s="192"/>
      <c r="O146" s="188"/>
      <c r="P146" s="189"/>
      <c r="Q146" s="186"/>
      <c r="R146" s="187"/>
    </row>
    <row r="147" spans="2:18">
      <c r="B147" s="185"/>
      <c r="C147" s="186"/>
      <c r="D147" s="187"/>
      <c r="E147" s="188"/>
      <c r="F147" s="189"/>
      <c r="G147" s="186"/>
      <c r="H147" s="187"/>
      <c r="I147" s="186"/>
      <c r="J147" s="187"/>
      <c r="K147" s="51"/>
      <c r="L147" s="190"/>
      <c r="M147" s="191"/>
      <c r="N147" s="192"/>
      <c r="O147" s="188"/>
      <c r="P147" s="189"/>
      <c r="Q147" s="186"/>
      <c r="R147" s="187"/>
    </row>
    <row r="148" spans="2:18">
      <c r="B148" s="185"/>
      <c r="C148" s="186"/>
      <c r="D148" s="187"/>
      <c r="E148" s="188"/>
      <c r="F148" s="189"/>
      <c r="G148" s="186"/>
      <c r="H148" s="187"/>
      <c r="I148" s="186"/>
      <c r="J148" s="187"/>
      <c r="K148" s="51"/>
      <c r="L148" s="190"/>
      <c r="M148" s="191"/>
      <c r="N148" s="192"/>
      <c r="O148" s="188"/>
      <c r="P148" s="189"/>
      <c r="Q148" s="186"/>
      <c r="R148" s="187"/>
    </row>
    <row r="149" spans="2:18">
      <c r="B149" s="185"/>
      <c r="C149" s="186"/>
      <c r="D149" s="187"/>
      <c r="E149" s="188"/>
      <c r="F149" s="189"/>
      <c r="G149" s="186"/>
      <c r="H149" s="187"/>
      <c r="I149" s="186"/>
      <c r="J149" s="187"/>
      <c r="K149" s="51"/>
      <c r="L149" s="190"/>
      <c r="M149" s="191"/>
      <c r="N149" s="192"/>
      <c r="O149" s="188"/>
      <c r="P149" s="189"/>
      <c r="Q149" s="186"/>
      <c r="R149" s="187"/>
    </row>
    <row r="150" spans="2:18">
      <c r="B150" s="185"/>
      <c r="C150" s="186"/>
      <c r="D150" s="187"/>
      <c r="E150" s="188"/>
      <c r="F150" s="189"/>
      <c r="G150" s="186"/>
      <c r="H150" s="187"/>
      <c r="I150" s="186"/>
      <c r="J150" s="187"/>
      <c r="K150" s="51"/>
      <c r="L150" s="190"/>
      <c r="M150" s="191"/>
      <c r="N150" s="192"/>
      <c r="O150" s="188"/>
      <c r="P150" s="189"/>
      <c r="Q150" s="186"/>
      <c r="R150" s="187"/>
    </row>
    <row r="151" spans="2:18">
      <c r="B151" s="185"/>
      <c r="C151" s="186"/>
      <c r="D151" s="187"/>
      <c r="E151" s="188"/>
      <c r="F151" s="189"/>
      <c r="G151" s="186"/>
      <c r="H151" s="187"/>
      <c r="I151" s="186"/>
      <c r="J151" s="187"/>
      <c r="K151" s="51"/>
      <c r="L151" s="190"/>
      <c r="M151" s="191"/>
      <c r="N151" s="192"/>
      <c r="O151" s="188"/>
      <c r="P151" s="189"/>
      <c r="Q151" s="186"/>
      <c r="R151" s="187"/>
    </row>
    <row r="152" spans="2:18">
      <c r="B152" s="185"/>
      <c r="C152" s="186"/>
      <c r="D152" s="187"/>
      <c r="E152" s="188"/>
      <c r="F152" s="189"/>
      <c r="G152" s="186"/>
      <c r="H152" s="187"/>
      <c r="I152" s="186"/>
      <c r="J152" s="187"/>
      <c r="K152" s="51"/>
      <c r="L152" s="190"/>
      <c r="M152" s="191"/>
      <c r="N152" s="192"/>
      <c r="O152" s="188"/>
      <c r="P152" s="189"/>
      <c r="Q152" s="186"/>
      <c r="R152" s="187"/>
    </row>
    <row r="153" spans="2:18">
      <c r="B153" s="185"/>
      <c r="C153" s="186"/>
      <c r="D153" s="187"/>
      <c r="E153" s="188"/>
      <c r="F153" s="189"/>
      <c r="G153" s="186"/>
      <c r="H153" s="187"/>
      <c r="I153" s="186"/>
      <c r="J153" s="187"/>
      <c r="K153" s="51"/>
      <c r="L153" s="190"/>
      <c r="M153" s="191"/>
      <c r="N153" s="192"/>
      <c r="O153" s="188"/>
      <c r="P153" s="189"/>
      <c r="Q153" s="186"/>
      <c r="R153" s="187"/>
    </row>
    <row r="154" spans="2:18">
      <c r="B154" s="185"/>
      <c r="C154" s="186"/>
      <c r="D154" s="187"/>
      <c r="E154" s="188"/>
      <c r="F154" s="189"/>
      <c r="G154" s="186"/>
      <c r="H154" s="187"/>
      <c r="I154" s="186"/>
      <c r="J154" s="187"/>
      <c r="K154" s="51"/>
      <c r="L154" s="190"/>
      <c r="M154" s="191"/>
      <c r="N154" s="192"/>
      <c r="O154" s="188"/>
      <c r="P154" s="189"/>
      <c r="Q154" s="186"/>
      <c r="R154" s="187"/>
    </row>
    <row r="155" spans="2:18">
      <c r="B155" s="185"/>
      <c r="C155" s="186"/>
      <c r="D155" s="187"/>
      <c r="E155" s="188"/>
      <c r="F155" s="189"/>
      <c r="G155" s="186"/>
      <c r="H155" s="187"/>
      <c r="I155" s="186"/>
      <c r="J155" s="187"/>
      <c r="K155" s="51"/>
      <c r="L155" s="190"/>
      <c r="M155" s="191"/>
      <c r="N155" s="192"/>
      <c r="O155" s="188"/>
      <c r="P155" s="189"/>
      <c r="Q155" s="186"/>
      <c r="R155" s="187"/>
    </row>
    <row r="156" spans="2:18">
      <c r="B156" s="185"/>
      <c r="C156" s="186"/>
      <c r="D156" s="187"/>
      <c r="E156" s="188"/>
      <c r="F156" s="189"/>
      <c r="G156" s="186"/>
      <c r="H156" s="187"/>
      <c r="I156" s="186"/>
      <c r="J156" s="187"/>
      <c r="K156" s="51"/>
      <c r="L156" s="190"/>
      <c r="M156" s="191"/>
      <c r="N156" s="192"/>
      <c r="O156" s="188"/>
      <c r="P156" s="189"/>
      <c r="Q156" s="186"/>
      <c r="R156" s="187"/>
    </row>
    <row r="157" spans="2:18">
      <c r="B157" s="185"/>
      <c r="C157" s="186"/>
      <c r="D157" s="187"/>
      <c r="E157" s="188"/>
      <c r="F157" s="189"/>
      <c r="G157" s="186"/>
      <c r="H157" s="187"/>
      <c r="I157" s="186"/>
      <c r="J157" s="187"/>
      <c r="K157" s="51"/>
      <c r="L157" s="190"/>
      <c r="M157" s="191"/>
      <c r="N157" s="192"/>
      <c r="O157" s="188"/>
      <c r="P157" s="189"/>
      <c r="Q157" s="186"/>
      <c r="R157" s="187"/>
    </row>
    <row r="158" spans="2:18">
      <c r="B158" s="185"/>
      <c r="C158" s="186"/>
      <c r="D158" s="187"/>
      <c r="E158" s="188"/>
      <c r="F158" s="189"/>
      <c r="G158" s="186"/>
      <c r="H158" s="187"/>
      <c r="I158" s="186"/>
      <c r="J158" s="187"/>
      <c r="K158" s="51"/>
      <c r="L158" s="190"/>
      <c r="M158" s="191"/>
      <c r="N158" s="192"/>
      <c r="O158" s="188"/>
      <c r="P158" s="189"/>
      <c r="Q158" s="186"/>
      <c r="R158" s="187"/>
    </row>
    <row r="159" spans="2:18">
      <c r="B159" s="185"/>
      <c r="C159" s="186"/>
      <c r="D159" s="187"/>
      <c r="E159" s="188"/>
      <c r="F159" s="189"/>
      <c r="G159" s="186"/>
      <c r="H159" s="187"/>
      <c r="I159" s="186"/>
      <c r="J159" s="187"/>
      <c r="K159" s="51"/>
      <c r="L159" s="190"/>
      <c r="M159" s="191"/>
      <c r="N159" s="192"/>
      <c r="O159" s="188"/>
      <c r="P159" s="189"/>
      <c r="Q159" s="186"/>
      <c r="R159" s="187"/>
    </row>
    <row r="160" spans="2:18">
      <c r="B160" s="185"/>
      <c r="C160" s="186"/>
      <c r="D160" s="187"/>
      <c r="E160" s="188"/>
      <c r="F160" s="189"/>
      <c r="G160" s="186"/>
      <c r="H160" s="187"/>
      <c r="I160" s="186"/>
      <c r="J160" s="187"/>
      <c r="K160" s="51"/>
      <c r="L160" s="190"/>
      <c r="M160" s="191"/>
      <c r="N160" s="192"/>
      <c r="O160" s="188"/>
      <c r="P160" s="189"/>
      <c r="Q160" s="186"/>
      <c r="R160" s="187"/>
    </row>
    <row r="161" spans="2:18">
      <c r="B161" s="185"/>
      <c r="C161" s="186"/>
      <c r="D161" s="187"/>
      <c r="E161" s="188"/>
      <c r="F161" s="189"/>
      <c r="G161" s="186"/>
      <c r="H161" s="187"/>
      <c r="I161" s="186"/>
      <c r="J161" s="187"/>
      <c r="K161" s="51"/>
      <c r="L161" s="190"/>
      <c r="M161" s="191"/>
      <c r="N161" s="192"/>
      <c r="O161" s="188"/>
      <c r="P161" s="189"/>
      <c r="Q161" s="186"/>
      <c r="R161" s="187"/>
    </row>
    <row r="162" spans="2:18">
      <c r="B162" s="185"/>
      <c r="C162" s="186"/>
      <c r="D162" s="187"/>
      <c r="E162" s="188"/>
      <c r="F162" s="189"/>
      <c r="G162" s="186"/>
      <c r="H162" s="187"/>
      <c r="I162" s="186"/>
      <c r="J162" s="187"/>
      <c r="K162" s="51"/>
      <c r="L162" s="190"/>
      <c r="M162" s="191"/>
      <c r="N162" s="192"/>
      <c r="O162" s="188"/>
      <c r="P162" s="189"/>
      <c r="Q162" s="186"/>
      <c r="R162" s="187"/>
    </row>
    <row r="163" spans="2:18">
      <c r="B163" s="185"/>
      <c r="C163" s="186"/>
      <c r="D163" s="187"/>
      <c r="E163" s="188"/>
      <c r="F163" s="189"/>
      <c r="G163" s="186"/>
      <c r="H163" s="187"/>
      <c r="I163" s="186"/>
      <c r="J163" s="187"/>
      <c r="K163" s="51"/>
      <c r="L163" s="190"/>
      <c r="M163" s="191"/>
      <c r="N163" s="192"/>
      <c r="O163" s="188"/>
      <c r="P163" s="189"/>
      <c r="Q163" s="186"/>
      <c r="R163" s="187"/>
    </row>
    <row r="164" spans="2:18">
      <c r="B164" s="185"/>
      <c r="C164" s="186"/>
      <c r="D164" s="187"/>
      <c r="E164" s="188"/>
      <c r="F164" s="189"/>
      <c r="G164" s="186"/>
      <c r="H164" s="187"/>
      <c r="I164" s="186"/>
      <c r="J164" s="187"/>
      <c r="K164" s="51"/>
      <c r="L164" s="190"/>
      <c r="M164" s="191"/>
      <c r="N164" s="192"/>
      <c r="O164" s="188"/>
      <c r="P164" s="189"/>
      <c r="Q164" s="186"/>
      <c r="R164" s="187"/>
    </row>
    <row r="165" spans="2:18">
      <c r="B165" s="185"/>
      <c r="C165" s="186"/>
      <c r="D165" s="187"/>
      <c r="E165" s="188"/>
      <c r="F165" s="189"/>
      <c r="G165" s="186"/>
      <c r="H165" s="187"/>
      <c r="I165" s="186"/>
      <c r="J165" s="187"/>
      <c r="K165" s="51"/>
      <c r="L165" s="190"/>
      <c r="M165" s="191"/>
      <c r="N165" s="192"/>
      <c r="O165" s="188"/>
      <c r="P165" s="189"/>
      <c r="Q165" s="186"/>
      <c r="R165" s="187"/>
    </row>
    <row r="166" spans="2:18">
      <c r="B166" s="185"/>
      <c r="C166" s="186"/>
      <c r="D166" s="187"/>
      <c r="E166" s="188"/>
      <c r="F166" s="189"/>
      <c r="G166" s="186"/>
      <c r="H166" s="187"/>
      <c r="I166" s="186"/>
      <c r="J166" s="187"/>
      <c r="K166" s="51"/>
      <c r="L166" s="190"/>
      <c r="M166" s="191"/>
      <c r="N166" s="192"/>
      <c r="O166" s="188"/>
      <c r="P166" s="189"/>
      <c r="Q166" s="186"/>
      <c r="R166" s="187"/>
    </row>
    <row r="167" spans="2:18">
      <c r="B167" s="185"/>
      <c r="C167" s="186"/>
      <c r="D167" s="187"/>
      <c r="E167" s="188"/>
      <c r="F167" s="189"/>
      <c r="G167" s="186"/>
      <c r="H167" s="187"/>
      <c r="I167" s="186"/>
      <c r="J167" s="187"/>
      <c r="K167" s="51"/>
      <c r="L167" s="190"/>
      <c r="M167" s="191"/>
      <c r="N167" s="192"/>
      <c r="O167" s="188"/>
      <c r="P167" s="189"/>
      <c r="Q167" s="186"/>
      <c r="R167" s="187"/>
    </row>
    <row r="168" spans="2:18">
      <c r="B168" s="185"/>
      <c r="C168" s="186"/>
      <c r="D168" s="187"/>
      <c r="E168" s="188"/>
      <c r="F168" s="189"/>
      <c r="G168" s="186"/>
      <c r="H168" s="187"/>
      <c r="I168" s="186"/>
      <c r="J168" s="187"/>
      <c r="K168" s="51"/>
      <c r="L168" s="190"/>
      <c r="M168" s="191"/>
      <c r="N168" s="192"/>
      <c r="O168" s="188"/>
      <c r="P168" s="189"/>
      <c r="Q168" s="186"/>
      <c r="R168" s="187"/>
    </row>
    <row r="169" spans="2:18">
      <c r="B169" s="185"/>
      <c r="C169" s="186"/>
      <c r="D169" s="187"/>
      <c r="E169" s="188"/>
      <c r="F169" s="189"/>
      <c r="G169" s="186"/>
      <c r="H169" s="187"/>
      <c r="I169" s="186"/>
      <c r="J169" s="187"/>
      <c r="K169" s="51"/>
      <c r="L169" s="190"/>
      <c r="M169" s="191"/>
      <c r="N169" s="192"/>
      <c r="O169" s="188"/>
      <c r="P169" s="189"/>
      <c r="Q169" s="186"/>
      <c r="R169" s="187"/>
    </row>
    <row r="170" spans="2:18">
      <c r="B170" s="185"/>
      <c r="C170" s="186"/>
      <c r="D170" s="187"/>
      <c r="E170" s="188"/>
      <c r="F170" s="189"/>
      <c r="G170" s="186"/>
      <c r="H170" s="187"/>
      <c r="I170" s="186"/>
      <c r="J170" s="187"/>
      <c r="K170" s="51"/>
      <c r="L170" s="190"/>
      <c r="M170" s="191"/>
      <c r="N170" s="192"/>
      <c r="O170" s="188"/>
      <c r="P170" s="189"/>
      <c r="Q170" s="186"/>
      <c r="R170" s="187"/>
    </row>
    <row r="171" spans="2:18">
      <c r="B171" s="185"/>
      <c r="C171" s="186"/>
      <c r="D171" s="187"/>
      <c r="E171" s="188"/>
      <c r="F171" s="189"/>
      <c r="G171" s="186"/>
      <c r="H171" s="187"/>
      <c r="I171" s="186"/>
      <c r="J171" s="187"/>
      <c r="K171" s="51"/>
      <c r="L171" s="190"/>
      <c r="M171" s="191"/>
      <c r="N171" s="192"/>
      <c r="O171" s="188"/>
      <c r="P171" s="189"/>
      <c r="Q171" s="186"/>
      <c r="R171" s="187"/>
    </row>
    <row r="172" spans="2:18">
      <c r="B172" s="185"/>
      <c r="C172" s="186"/>
      <c r="D172" s="187"/>
      <c r="E172" s="188"/>
      <c r="F172" s="189"/>
      <c r="G172" s="186"/>
      <c r="H172" s="187"/>
      <c r="I172" s="186"/>
      <c r="J172" s="187"/>
      <c r="K172" s="51"/>
      <c r="L172" s="190"/>
      <c r="M172" s="191"/>
      <c r="N172" s="192"/>
      <c r="O172" s="188"/>
      <c r="P172" s="189"/>
      <c r="Q172" s="186"/>
      <c r="R172" s="187"/>
    </row>
    <row r="173" spans="2:18">
      <c r="B173" s="185"/>
      <c r="C173" s="186"/>
      <c r="D173" s="187"/>
      <c r="E173" s="188"/>
      <c r="F173" s="189"/>
      <c r="G173" s="186"/>
      <c r="H173" s="187"/>
      <c r="I173" s="186"/>
      <c r="J173" s="187"/>
      <c r="K173" s="51"/>
      <c r="L173" s="190"/>
      <c r="M173" s="191"/>
      <c r="N173" s="192"/>
      <c r="O173" s="188"/>
      <c r="P173" s="189"/>
      <c r="Q173" s="186"/>
      <c r="R173" s="187"/>
    </row>
    <row r="174" spans="2:18">
      <c r="B174" s="185"/>
      <c r="C174" s="186"/>
      <c r="D174" s="187"/>
      <c r="E174" s="188"/>
      <c r="F174" s="189"/>
      <c r="G174" s="186"/>
      <c r="H174" s="187"/>
      <c r="I174" s="186"/>
      <c r="J174" s="187"/>
      <c r="K174" s="51"/>
      <c r="L174" s="190"/>
      <c r="M174" s="191"/>
      <c r="N174" s="192"/>
      <c r="O174" s="188"/>
      <c r="P174" s="189"/>
      <c r="Q174" s="186"/>
      <c r="R174" s="187"/>
    </row>
    <row r="175" spans="2:18">
      <c r="B175" s="185"/>
      <c r="C175" s="186"/>
      <c r="D175" s="187"/>
      <c r="E175" s="188"/>
      <c r="F175" s="189"/>
      <c r="G175" s="186"/>
      <c r="H175" s="187"/>
      <c r="I175" s="186"/>
      <c r="J175" s="187"/>
      <c r="K175" s="51"/>
      <c r="L175" s="190"/>
      <c r="M175" s="191"/>
      <c r="N175" s="192"/>
      <c r="O175" s="188"/>
      <c r="P175" s="189"/>
      <c r="Q175" s="186"/>
      <c r="R175" s="187"/>
    </row>
    <row r="176" spans="2:18">
      <c r="B176" s="185"/>
      <c r="C176" s="186"/>
      <c r="D176" s="187"/>
      <c r="E176" s="188"/>
      <c r="F176" s="189"/>
      <c r="G176" s="186"/>
      <c r="H176" s="187"/>
      <c r="I176" s="186"/>
      <c r="J176" s="187"/>
      <c r="K176" s="51"/>
      <c r="L176" s="190"/>
      <c r="M176" s="191"/>
      <c r="N176" s="192"/>
      <c r="O176" s="188"/>
      <c r="P176" s="189"/>
      <c r="Q176" s="186"/>
      <c r="R176" s="187"/>
    </row>
    <row r="177" spans="2:18">
      <c r="B177" s="185"/>
      <c r="C177" s="186"/>
      <c r="D177" s="187"/>
      <c r="E177" s="188"/>
      <c r="F177" s="189"/>
      <c r="G177" s="186"/>
      <c r="H177" s="187"/>
      <c r="I177" s="186"/>
      <c r="J177" s="187"/>
      <c r="K177" s="51"/>
      <c r="L177" s="190"/>
      <c r="M177" s="191"/>
      <c r="N177" s="192"/>
      <c r="O177" s="188"/>
      <c r="P177" s="189"/>
      <c r="Q177" s="186"/>
      <c r="R177" s="187"/>
    </row>
    <row r="178" spans="2:18">
      <c r="B178" s="185"/>
      <c r="C178" s="186"/>
      <c r="D178" s="187"/>
      <c r="E178" s="188"/>
      <c r="F178" s="189"/>
      <c r="G178" s="186"/>
      <c r="H178" s="187"/>
      <c r="I178" s="186"/>
      <c r="J178" s="187"/>
      <c r="K178" s="51"/>
      <c r="L178" s="190"/>
      <c r="M178" s="191"/>
      <c r="N178" s="192"/>
      <c r="O178" s="188"/>
      <c r="P178" s="189"/>
      <c r="Q178" s="186"/>
      <c r="R178" s="187"/>
    </row>
    <row r="179" spans="2:18">
      <c r="B179" s="185"/>
      <c r="C179" s="186"/>
      <c r="D179" s="187"/>
      <c r="E179" s="188"/>
      <c r="F179" s="189"/>
      <c r="G179" s="186"/>
      <c r="H179" s="187"/>
      <c r="I179" s="186"/>
      <c r="J179" s="187"/>
      <c r="K179" s="51"/>
      <c r="L179" s="190"/>
      <c r="M179" s="191"/>
      <c r="N179" s="192"/>
      <c r="O179" s="188"/>
      <c r="P179" s="189"/>
      <c r="Q179" s="186"/>
      <c r="R179" s="187"/>
    </row>
    <row r="180" spans="2:18">
      <c r="B180" s="185"/>
      <c r="C180" s="186"/>
      <c r="D180" s="187"/>
      <c r="E180" s="188"/>
      <c r="F180" s="189"/>
      <c r="G180" s="186"/>
      <c r="H180" s="187"/>
      <c r="I180" s="186"/>
      <c r="J180" s="187"/>
      <c r="K180" s="51"/>
      <c r="L180" s="190"/>
      <c r="M180" s="191"/>
      <c r="N180" s="192"/>
      <c r="O180" s="188"/>
      <c r="P180" s="189"/>
      <c r="Q180" s="186"/>
      <c r="R180" s="187"/>
    </row>
    <row r="181" spans="2:18">
      <c r="B181" s="185"/>
      <c r="C181" s="186"/>
      <c r="D181" s="187"/>
      <c r="E181" s="188"/>
      <c r="F181" s="189"/>
      <c r="G181" s="186"/>
      <c r="H181" s="187"/>
      <c r="I181" s="186"/>
      <c r="J181" s="187"/>
      <c r="K181" s="51"/>
      <c r="L181" s="190"/>
      <c r="M181" s="191"/>
      <c r="N181" s="192"/>
      <c r="O181" s="188"/>
      <c r="P181" s="189"/>
      <c r="Q181" s="186"/>
      <c r="R181" s="187"/>
    </row>
    <row r="182" spans="2:18">
      <c r="B182" s="185"/>
      <c r="C182" s="186"/>
      <c r="D182" s="187"/>
      <c r="E182" s="188"/>
      <c r="F182" s="189"/>
      <c r="G182" s="186"/>
      <c r="H182" s="187"/>
      <c r="I182" s="186"/>
      <c r="J182" s="187"/>
      <c r="K182" s="51"/>
      <c r="L182" s="190"/>
      <c r="M182" s="191"/>
      <c r="N182" s="192"/>
      <c r="O182" s="188"/>
      <c r="P182" s="189"/>
      <c r="Q182" s="186"/>
      <c r="R182" s="187"/>
    </row>
    <row r="183" spans="2:18">
      <c r="B183" s="185"/>
      <c r="C183" s="186"/>
      <c r="D183" s="187"/>
      <c r="E183" s="188"/>
      <c r="F183" s="189"/>
      <c r="G183" s="186"/>
      <c r="H183" s="187"/>
      <c r="I183" s="186"/>
      <c r="J183" s="187"/>
      <c r="K183" s="51"/>
      <c r="L183" s="190"/>
      <c r="M183" s="191"/>
      <c r="N183" s="192"/>
      <c r="O183" s="188"/>
      <c r="P183" s="189"/>
      <c r="Q183" s="186"/>
      <c r="R183" s="187"/>
    </row>
    <row r="184" spans="2:18">
      <c r="B184" s="185"/>
      <c r="C184" s="186"/>
      <c r="D184" s="187"/>
      <c r="E184" s="188"/>
      <c r="F184" s="189"/>
      <c r="G184" s="186"/>
      <c r="H184" s="187"/>
      <c r="I184" s="186"/>
      <c r="J184" s="187"/>
      <c r="K184" s="51"/>
      <c r="L184" s="190"/>
      <c r="M184" s="191"/>
      <c r="N184" s="192"/>
      <c r="O184" s="188"/>
      <c r="P184" s="189"/>
      <c r="Q184" s="186"/>
      <c r="R184" s="187"/>
    </row>
    <row r="185" spans="2:18">
      <c r="B185" s="185"/>
      <c r="C185" s="186"/>
      <c r="D185" s="187"/>
      <c r="E185" s="188"/>
      <c r="F185" s="189"/>
      <c r="G185" s="186"/>
      <c r="H185" s="187"/>
      <c r="I185" s="186"/>
      <c r="J185" s="187"/>
      <c r="K185" s="51"/>
      <c r="L185" s="190"/>
      <c r="M185" s="191"/>
      <c r="N185" s="192"/>
      <c r="O185" s="188"/>
      <c r="P185" s="189"/>
      <c r="Q185" s="186"/>
      <c r="R185" s="187"/>
    </row>
    <row r="186" spans="2:18">
      <c r="B186" s="185"/>
      <c r="C186" s="186"/>
      <c r="D186" s="187"/>
      <c r="E186" s="188"/>
      <c r="F186" s="189"/>
      <c r="G186" s="186"/>
      <c r="H186" s="187"/>
      <c r="I186" s="186"/>
      <c r="J186" s="187"/>
      <c r="K186" s="51"/>
      <c r="L186" s="190"/>
      <c r="M186" s="191"/>
      <c r="N186" s="192"/>
      <c r="O186" s="188"/>
      <c r="P186" s="189"/>
      <c r="Q186" s="186"/>
      <c r="R186" s="187"/>
    </row>
    <row r="187" spans="2:18">
      <c r="B187" s="185"/>
      <c r="C187" s="186"/>
      <c r="D187" s="187"/>
      <c r="E187" s="188"/>
      <c r="F187" s="189"/>
      <c r="G187" s="186"/>
      <c r="H187" s="187"/>
      <c r="I187" s="186"/>
      <c r="J187" s="187"/>
      <c r="K187" s="51"/>
      <c r="L187" s="190"/>
      <c r="M187" s="191"/>
      <c r="N187" s="192"/>
      <c r="O187" s="188"/>
      <c r="P187" s="189"/>
      <c r="Q187" s="186"/>
      <c r="R187" s="187"/>
    </row>
    <row r="188" spans="2:18">
      <c r="B188" s="185"/>
      <c r="C188" s="186"/>
      <c r="D188" s="187"/>
      <c r="E188" s="188"/>
      <c r="F188" s="189"/>
      <c r="G188" s="186"/>
      <c r="H188" s="187"/>
      <c r="I188" s="186"/>
      <c r="J188" s="187"/>
      <c r="K188" s="51"/>
      <c r="L188" s="190"/>
      <c r="M188" s="191"/>
      <c r="N188" s="192"/>
      <c r="O188" s="188"/>
      <c r="P188" s="189"/>
      <c r="Q188" s="186"/>
      <c r="R188" s="187"/>
    </row>
    <row r="189" spans="2:18">
      <c r="B189" s="185"/>
      <c r="C189" s="186"/>
      <c r="D189" s="187"/>
      <c r="E189" s="188"/>
      <c r="F189" s="189"/>
      <c r="G189" s="186"/>
      <c r="H189" s="187"/>
      <c r="I189" s="186"/>
      <c r="J189" s="187"/>
      <c r="K189" s="51"/>
      <c r="L189" s="190"/>
      <c r="M189" s="191"/>
      <c r="N189" s="192"/>
      <c r="O189" s="188"/>
      <c r="P189" s="189"/>
      <c r="Q189" s="186"/>
      <c r="R189" s="187"/>
    </row>
    <row r="190" spans="2:18">
      <c r="B190" s="185"/>
      <c r="C190" s="186"/>
      <c r="D190" s="187"/>
      <c r="E190" s="188"/>
      <c r="F190" s="189"/>
      <c r="G190" s="186"/>
      <c r="H190" s="187"/>
      <c r="I190" s="186"/>
      <c r="J190" s="187"/>
      <c r="K190" s="51"/>
      <c r="L190" s="190"/>
      <c r="M190" s="191"/>
      <c r="N190" s="192"/>
      <c r="O190" s="188"/>
      <c r="P190" s="189"/>
      <c r="Q190" s="186"/>
      <c r="R190" s="187"/>
    </row>
    <row r="191" spans="2:18">
      <c r="B191" s="185"/>
      <c r="C191" s="186"/>
      <c r="D191" s="187"/>
      <c r="E191" s="188"/>
      <c r="F191" s="189"/>
      <c r="G191" s="186"/>
      <c r="H191" s="187"/>
      <c r="I191" s="186"/>
      <c r="J191" s="187"/>
      <c r="K191" s="51"/>
      <c r="L191" s="190"/>
      <c r="M191" s="191"/>
      <c r="N191" s="192"/>
      <c r="O191" s="188"/>
      <c r="P191" s="189"/>
      <c r="Q191" s="186"/>
      <c r="R191" s="187"/>
    </row>
    <row r="192" spans="2:18">
      <c r="B192" s="185"/>
      <c r="C192" s="186"/>
      <c r="D192" s="187"/>
      <c r="E192" s="188"/>
      <c r="F192" s="189"/>
      <c r="G192" s="186"/>
      <c r="H192" s="187"/>
      <c r="I192" s="186"/>
      <c r="J192" s="187"/>
      <c r="K192" s="51"/>
      <c r="L192" s="190"/>
      <c r="M192" s="191"/>
      <c r="N192" s="192"/>
      <c r="O192" s="188"/>
      <c r="P192" s="189"/>
      <c r="Q192" s="186"/>
      <c r="R192" s="187"/>
    </row>
    <row r="193" spans="2:18">
      <c r="B193" s="185"/>
      <c r="C193" s="186"/>
      <c r="D193" s="187"/>
      <c r="E193" s="188"/>
      <c r="F193" s="189"/>
      <c r="G193" s="186"/>
      <c r="H193" s="187"/>
      <c r="I193" s="186"/>
      <c r="J193" s="187"/>
      <c r="K193" s="51"/>
      <c r="L193" s="190"/>
      <c r="M193" s="191"/>
      <c r="N193" s="192"/>
      <c r="O193" s="188"/>
      <c r="P193" s="189"/>
      <c r="Q193" s="186"/>
      <c r="R193" s="187"/>
    </row>
    <row r="194" spans="2:18">
      <c r="B194" s="185"/>
      <c r="C194" s="186"/>
      <c r="D194" s="187"/>
      <c r="E194" s="188"/>
      <c r="F194" s="189"/>
      <c r="G194" s="186"/>
      <c r="H194" s="187"/>
      <c r="I194" s="186"/>
      <c r="J194" s="187"/>
      <c r="K194" s="51"/>
      <c r="L194" s="190"/>
      <c r="M194" s="191"/>
      <c r="N194" s="192"/>
      <c r="O194" s="188"/>
      <c r="P194" s="189"/>
      <c r="Q194" s="186"/>
      <c r="R194" s="187"/>
    </row>
    <row r="195" spans="2:18">
      <c r="B195" s="185"/>
      <c r="C195" s="186"/>
      <c r="D195" s="187"/>
      <c r="E195" s="188"/>
      <c r="F195" s="189"/>
      <c r="G195" s="186"/>
      <c r="H195" s="187"/>
      <c r="I195" s="186"/>
      <c r="J195" s="187"/>
      <c r="K195" s="51"/>
      <c r="L195" s="190"/>
      <c r="M195" s="191"/>
      <c r="N195" s="192"/>
      <c r="O195" s="188"/>
      <c r="P195" s="189"/>
      <c r="Q195" s="186"/>
      <c r="R195" s="187"/>
    </row>
    <row r="196" spans="2:18">
      <c r="B196" s="185"/>
      <c r="C196" s="186"/>
      <c r="D196" s="187"/>
      <c r="E196" s="188"/>
      <c r="F196" s="189"/>
      <c r="G196" s="186"/>
      <c r="H196" s="187"/>
      <c r="I196" s="186"/>
      <c r="J196" s="187"/>
      <c r="K196" s="51"/>
      <c r="L196" s="190"/>
      <c r="M196" s="191"/>
      <c r="N196" s="192"/>
      <c r="O196" s="188"/>
      <c r="P196" s="189"/>
      <c r="Q196" s="186"/>
      <c r="R196" s="187"/>
    </row>
    <row r="197" spans="2:18">
      <c r="B197" s="185"/>
      <c r="C197" s="186"/>
      <c r="D197" s="187"/>
      <c r="E197" s="188"/>
      <c r="F197" s="189"/>
      <c r="G197" s="186"/>
      <c r="H197" s="187"/>
      <c r="I197" s="186"/>
      <c r="J197" s="187"/>
      <c r="K197" s="51"/>
      <c r="L197" s="190"/>
      <c r="M197" s="191"/>
      <c r="N197" s="192"/>
      <c r="O197" s="188"/>
      <c r="P197" s="189"/>
      <c r="Q197" s="186"/>
      <c r="R197" s="187"/>
    </row>
    <row r="198" spans="2:18">
      <c r="B198" s="185"/>
      <c r="C198" s="186"/>
      <c r="D198" s="187"/>
      <c r="E198" s="188"/>
      <c r="F198" s="189"/>
      <c r="G198" s="186"/>
      <c r="H198" s="187"/>
      <c r="I198" s="186"/>
      <c r="J198" s="187"/>
      <c r="K198" s="51"/>
      <c r="L198" s="190"/>
      <c r="M198" s="191"/>
      <c r="N198" s="192"/>
      <c r="O198" s="188"/>
      <c r="P198" s="189"/>
      <c r="Q198" s="186"/>
      <c r="R198" s="187"/>
    </row>
    <row r="199" spans="2:18">
      <c r="B199" s="185"/>
      <c r="C199" s="186"/>
      <c r="D199" s="187"/>
      <c r="E199" s="188"/>
      <c r="F199" s="189"/>
      <c r="G199" s="186"/>
      <c r="H199" s="187"/>
      <c r="I199" s="186"/>
      <c r="J199" s="187"/>
      <c r="K199" s="51"/>
      <c r="L199" s="190"/>
      <c r="M199" s="191"/>
      <c r="N199" s="192"/>
      <c r="O199" s="188"/>
      <c r="P199" s="189"/>
      <c r="Q199" s="186"/>
      <c r="R199" s="187"/>
    </row>
    <row r="200" spans="2:18">
      <c r="B200" s="185"/>
      <c r="C200" s="186"/>
      <c r="D200" s="187"/>
      <c r="E200" s="188"/>
      <c r="F200" s="189"/>
      <c r="G200" s="186"/>
      <c r="H200" s="187"/>
      <c r="I200" s="186"/>
      <c r="J200" s="187"/>
      <c r="K200" s="51"/>
      <c r="L200" s="190"/>
      <c r="M200" s="191"/>
      <c r="N200" s="192"/>
      <c r="O200" s="188"/>
      <c r="P200" s="189"/>
      <c r="Q200" s="186"/>
      <c r="R200" s="187"/>
    </row>
    <row r="201" spans="2:18">
      <c r="B201" s="185"/>
      <c r="C201" s="186"/>
      <c r="D201" s="187"/>
      <c r="E201" s="188"/>
      <c r="F201" s="189"/>
      <c r="G201" s="186"/>
      <c r="H201" s="187"/>
      <c r="I201" s="186"/>
      <c r="J201" s="187"/>
      <c r="K201" s="51"/>
      <c r="L201" s="190"/>
      <c r="M201" s="191"/>
      <c r="N201" s="192"/>
      <c r="O201" s="188"/>
      <c r="P201" s="189"/>
      <c r="Q201" s="186"/>
      <c r="R201" s="187"/>
    </row>
    <row r="202" spans="2:18">
      <c r="B202" s="185"/>
      <c r="C202" s="186"/>
      <c r="D202" s="187"/>
      <c r="E202" s="188"/>
      <c r="F202" s="189"/>
      <c r="G202" s="186"/>
      <c r="H202" s="187"/>
      <c r="I202" s="186"/>
      <c r="J202" s="187"/>
      <c r="K202" s="51"/>
      <c r="L202" s="190"/>
      <c r="M202" s="191"/>
      <c r="N202" s="192"/>
      <c r="O202" s="188"/>
      <c r="P202" s="189"/>
      <c r="Q202" s="186"/>
      <c r="R202" s="187"/>
    </row>
    <row r="203" spans="2:18">
      <c r="B203" s="185"/>
      <c r="C203" s="186"/>
      <c r="D203" s="187"/>
      <c r="E203" s="188"/>
      <c r="F203" s="189"/>
      <c r="G203" s="186"/>
      <c r="H203" s="187"/>
      <c r="I203" s="186"/>
      <c r="J203" s="187"/>
      <c r="K203" s="51"/>
      <c r="L203" s="190"/>
      <c r="M203" s="191"/>
      <c r="N203" s="192"/>
      <c r="O203" s="188"/>
      <c r="P203" s="189"/>
      <c r="Q203" s="186"/>
      <c r="R203" s="187"/>
    </row>
    <row r="204" spans="2:18">
      <c r="B204" s="185"/>
      <c r="C204" s="186"/>
      <c r="D204" s="187"/>
      <c r="E204" s="188"/>
      <c r="F204" s="189"/>
      <c r="G204" s="186"/>
      <c r="H204" s="187"/>
      <c r="I204" s="186"/>
      <c r="J204" s="187"/>
      <c r="K204" s="51"/>
      <c r="L204" s="190"/>
      <c r="M204" s="191"/>
      <c r="N204" s="192"/>
      <c r="O204" s="188"/>
      <c r="P204" s="189"/>
      <c r="Q204" s="186"/>
      <c r="R204" s="187"/>
    </row>
    <row r="205" spans="2:18">
      <c r="B205" s="185"/>
      <c r="C205" s="186"/>
      <c r="D205" s="187"/>
      <c r="E205" s="188"/>
      <c r="F205" s="189"/>
      <c r="G205" s="186"/>
      <c r="H205" s="187"/>
      <c r="I205" s="186"/>
      <c r="J205" s="187"/>
      <c r="K205" s="51"/>
      <c r="L205" s="190"/>
      <c r="M205" s="191"/>
      <c r="N205" s="192"/>
      <c r="O205" s="188"/>
      <c r="P205" s="189"/>
      <c r="Q205" s="186"/>
      <c r="R205" s="187"/>
    </row>
    <row r="206" spans="2:18">
      <c r="B206" s="185"/>
      <c r="C206" s="186"/>
      <c r="D206" s="187"/>
      <c r="E206" s="188"/>
      <c r="F206" s="189"/>
      <c r="G206" s="186"/>
      <c r="H206" s="187"/>
      <c r="I206" s="186"/>
      <c r="J206" s="187"/>
      <c r="K206" s="51"/>
      <c r="L206" s="190"/>
      <c r="M206" s="191"/>
      <c r="N206" s="192"/>
      <c r="O206" s="188"/>
      <c r="P206" s="189"/>
      <c r="Q206" s="186"/>
      <c r="R206" s="187"/>
    </row>
    <row r="207" spans="2:18">
      <c r="B207" s="185"/>
      <c r="C207" s="186"/>
      <c r="D207" s="187"/>
      <c r="E207" s="188"/>
      <c r="F207" s="189"/>
      <c r="G207" s="186"/>
      <c r="H207" s="187"/>
      <c r="I207" s="186"/>
      <c r="J207" s="187"/>
      <c r="K207" s="51"/>
      <c r="L207" s="190"/>
      <c r="M207" s="191"/>
      <c r="N207" s="192"/>
      <c r="O207" s="188"/>
      <c r="P207" s="189"/>
      <c r="Q207" s="186"/>
      <c r="R207" s="187"/>
    </row>
    <row r="208" spans="2:18">
      <c r="B208" s="185"/>
      <c r="C208" s="186"/>
      <c r="D208" s="187"/>
      <c r="E208" s="188"/>
      <c r="F208" s="189"/>
      <c r="G208" s="186"/>
      <c r="H208" s="187"/>
      <c r="I208" s="186"/>
      <c r="J208" s="187"/>
      <c r="K208" s="51"/>
      <c r="L208" s="190"/>
      <c r="M208" s="191"/>
      <c r="N208" s="192"/>
      <c r="O208" s="188"/>
      <c r="P208" s="189"/>
      <c r="Q208" s="186"/>
      <c r="R208" s="187"/>
    </row>
    <row r="209" spans="2:18">
      <c r="B209" s="185"/>
      <c r="C209" s="186"/>
      <c r="D209" s="187"/>
      <c r="E209" s="188"/>
      <c r="F209" s="189"/>
      <c r="G209" s="186"/>
      <c r="H209" s="187"/>
      <c r="I209" s="186"/>
      <c r="J209" s="187"/>
      <c r="K209" s="51"/>
      <c r="L209" s="190"/>
      <c r="M209" s="191"/>
      <c r="N209" s="192"/>
      <c r="O209" s="188"/>
      <c r="P209" s="189"/>
      <c r="Q209" s="186"/>
      <c r="R209" s="187"/>
    </row>
    <row r="210" spans="2:18">
      <c r="B210" s="185"/>
      <c r="C210" s="186"/>
      <c r="D210" s="187"/>
      <c r="E210" s="188"/>
      <c r="F210" s="189"/>
      <c r="G210" s="186"/>
      <c r="H210" s="187"/>
      <c r="I210" s="186"/>
      <c r="J210" s="187"/>
      <c r="K210" s="51"/>
      <c r="L210" s="190"/>
      <c r="M210" s="191"/>
      <c r="N210" s="192"/>
      <c r="O210" s="188"/>
      <c r="P210" s="189"/>
      <c r="Q210" s="186"/>
      <c r="R210" s="187"/>
    </row>
    <row r="211" spans="2:18">
      <c r="B211" s="185"/>
      <c r="C211" s="186"/>
      <c r="D211" s="187"/>
      <c r="E211" s="188"/>
      <c r="F211" s="189"/>
      <c r="G211" s="186"/>
      <c r="H211" s="187"/>
      <c r="I211" s="186"/>
      <c r="J211" s="187"/>
      <c r="K211" s="51"/>
      <c r="L211" s="190"/>
      <c r="M211" s="191"/>
      <c r="N211" s="192"/>
      <c r="O211" s="188"/>
      <c r="P211" s="189"/>
      <c r="Q211" s="186"/>
      <c r="R211" s="187"/>
    </row>
    <row r="212" spans="2:18">
      <c r="B212" s="185"/>
      <c r="C212" s="186"/>
      <c r="D212" s="187"/>
      <c r="E212" s="188"/>
      <c r="F212" s="189"/>
      <c r="G212" s="186"/>
      <c r="H212" s="187"/>
      <c r="I212" s="186"/>
      <c r="J212" s="187"/>
      <c r="K212" s="51"/>
      <c r="L212" s="190"/>
      <c r="M212" s="191"/>
      <c r="N212" s="192"/>
      <c r="O212" s="188"/>
      <c r="P212" s="189"/>
      <c r="Q212" s="186"/>
      <c r="R212" s="187"/>
    </row>
    <row r="213" spans="2:18">
      <c r="B213" s="185"/>
      <c r="C213" s="186"/>
      <c r="D213" s="187"/>
      <c r="E213" s="188"/>
      <c r="F213" s="189"/>
      <c r="G213" s="186"/>
      <c r="H213" s="187"/>
      <c r="I213" s="186"/>
      <c r="J213" s="187"/>
      <c r="K213" s="51"/>
      <c r="L213" s="190"/>
      <c r="M213" s="191"/>
      <c r="N213" s="192"/>
      <c r="O213" s="188"/>
      <c r="P213" s="189"/>
      <c r="Q213" s="186"/>
      <c r="R213" s="187"/>
    </row>
    <row r="214" spans="2:18">
      <c r="B214" s="185"/>
      <c r="C214" s="186"/>
      <c r="D214" s="187"/>
      <c r="E214" s="188"/>
      <c r="F214" s="189"/>
      <c r="G214" s="186"/>
      <c r="H214" s="187"/>
      <c r="I214" s="186"/>
      <c r="J214" s="187"/>
      <c r="K214" s="51"/>
      <c r="L214" s="190"/>
      <c r="M214" s="191"/>
      <c r="N214" s="192"/>
      <c r="O214" s="188"/>
      <c r="P214" s="189"/>
      <c r="Q214" s="186"/>
      <c r="R214" s="187"/>
    </row>
    <row r="215" spans="2:18">
      <c r="B215" s="185"/>
      <c r="C215" s="186"/>
      <c r="D215" s="187"/>
      <c r="E215" s="188"/>
      <c r="F215" s="189"/>
      <c r="G215" s="186"/>
      <c r="H215" s="187"/>
      <c r="I215" s="186"/>
      <c r="J215" s="187"/>
      <c r="K215" s="51"/>
      <c r="L215" s="190"/>
      <c r="M215" s="191"/>
      <c r="N215" s="192"/>
      <c r="O215" s="188"/>
      <c r="P215" s="189"/>
      <c r="Q215" s="186"/>
      <c r="R215" s="187"/>
    </row>
    <row r="216" spans="2:18">
      <c r="B216" s="185"/>
      <c r="C216" s="186"/>
      <c r="D216" s="187"/>
      <c r="E216" s="188"/>
      <c r="F216" s="189"/>
      <c r="G216" s="186"/>
      <c r="H216" s="187"/>
      <c r="I216" s="186"/>
      <c r="J216" s="187"/>
      <c r="K216" s="51"/>
      <c r="L216" s="190"/>
      <c r="M216" s="191"/>
      <c r="N216" s="192"/>
      <c r="O216" s="188"/>
      <c r="P216" s="189"/>
      <c r="Q216" s="186"/>
      <c r="R216" s="187"/>
    </row>
    <row r="217" spans="2:18">
      <c r="B217" s="185"/>
      <c r="C217" s="186"/>
      <c r="D217" s="187"/>
      <c r="E217" s="188"/>
      <c r="F217" s="189"/>
      <c r="G217" s="186"/>
      <c r="H217" s="187"/>
      <c r="I217" s="186"/>
      <c r="J217" s="187"/>
      <c r="K217" s="51"/>
      <c r="L217" s="190"/>
      <c r="M217" s="191"/>
      <c r="N217" s="192"/>
      <c r="O217" s="188"/>
      <c r="P217" s="189"/>
      <c r="Q217" s="186"/>
      <c r="R217" s="187"/>
    </row>
    <row r="218" spans="2:18">
      <c r="B218" s="185"/>
      <c r="C218" s="186"/>
      <c r="D218" s="187"/>
      <c r="E218" s="188"/>
      <c r="F218" s="189"/>
      <c r="G218" s="186"/>
      <c r="H218" s="187"/>
      <c r="I218" s="186"/>
      <c r="J218" s="187"/>
      <c r="K218" s="51"/>
      <c r="L218" s="190"/>
      <c r="M218" s="191"/>
      <c r="N218" s="192"/>
      <c r="O218" s="188"/>
      <c r="P218" s="189"/>
      <c r="Q218" s="186"/>
      <c r="R218" s="187"/>
    </row>
    <row r="219" spans="2:18">
      <c r="B219" s="185"/>
      <c r="C219" s="186"/>
      <c r="D219" s="187"/>
      <c r="E219" s="188"/>
      <c r="F219" s="189"/>
      <c r="G219" s="186"/>
      <c r="H219" s="187"/>
      <c r="I219" s="186"/>
      <c r="J219" s="187"/>
      <c r="K219" s="51"/>
      <c r="L219" s="190"/>
      <c r="M219" s="191"/>
      <c r="N219" s="192"/>
      <c r="O219" s="188"/>
      <c r="P219" s="189"/>
      <c r="Q219" s="186"/>
      <c r="R219" s="187"/>
    </row>
    <row r="220" spans="2:18">
      <c r="B220" s="185"/>
      <c r="C220" s="186"/>
      <c r="D220" s="187"/>
      <c r="E220" s="188"/>
      <c r="F220" s="189"/>
      <c r="G220" s="186"/>
      <c r="H220" s="187"/>
      <c r="I220" s="186"/>
      <c r="J220" s="187"/>
      <c r="K220" s="51"/>
      <c r="L220" s="190"/>
      <c r="M220" s="191"/>
      <c r="N220" s="192"/>
      <c r="O220" s="188"/>
      <c r="P220" s="189"/>
      <c r="Q220" s="186"/>
      <c r="R220" s="187"/>
    </row>
    <row r="221" spans="2:18">
      <c r="B221" s="185"/>
      <c r="C221" s="186"/>
      <c r="D221" s="187"/>
      <c r="E221" s="188"/>
      <c r="F221" s="189"/>
      <c r="G221" s="186"/>
      <c r="H221" s="187"/>
      <c r="I221" s="186"/>
      <c r="J221" s="187"/>
      <c r="K221" s="51"/>
      <c r="L221" s="190"/>
      <c r="M221" s="191"/>
      <c r="N221" s="192"/>
      <c r="O221" s="188"/>
      <c r="P221" s="189"/>
      <c r="Q221" s="186"/>
      <c r="R221" s="187"/>
    </row>
    <row r="222" spans="2:18">
      <c r="B222" s="185"/>
      <c r="C222" s="186"/>
      <c r="D222" s="187"/>
      <c r="E222" s="188"/>
      <c r="F222" s="189"/>
      <c r="G222" s="186"/>
      <c r="H222" s="187"/>
      <c r="I222" s="186"/>
      <c r="J222" s="187"/>
      <c r="K222" s="51"/>
      <c r="L222" s="190"/>
      <c r="M222" s="191"/>
      <c r="N222" s="192"/>
      <c r="O222" s="188"/>
      <c r="P222" s="189"/>
      <c r="Q222" s="186"/>
      <c r="R222" s="187"/>
    </row>
    <row r="223" spans="2:18">
      <c r="B223" s="185"/>
      <c r="C223" s="186"/>
      <c r="D223" s="187"/>
      <c r="E223" s="188"/>
      <c r="F223" s="189"/>
      <c r="G223" s="186"/>
      <c r="H223" s="187"/>
      <c r="I223" s="186"/>
      <c r="J223" s="187"/>
      <c r="K223" s="51"/>
      <c r="L223" s="190"/>
      <c r="M223" s="191"/>
      <c r="N223" s="192"/>
      <c r="O223" s="188"/>
      <c r="P223" s="189"/>
      <c r="Q223" s="186"/>
      <c r="R223" s="187"/>
    </row>
    <row r="224" spans="2:18">
      <c r="B224" s="185"/>
      <c r="C224" s="186"/>
      <c r="D224" s="187"/>
      <c r="E224" s="188"/>
      <c r="F224" s="189"/>
      <c r="G224" s="186"/>
      <c r="H224" s="187"/>
      <c r="I224" s="186"/>
      <c r="J224" s="187"/>
      <c r="K224" s="51"/>
      <c r="L224" s="190"/>
      <c r="M224" s="191"/>
      <c r="N224" s="192"/>
      <c r="O224" s="188"/>
      <c r="P224" s="189"/>
      <c r="Q224" s="186"/>
      <c r="R224" s="187"/>
    </row>
    <row r="225" spans="2:18">
      <c r="B225" s="185"/>
      <c r="C225" s="186"/>
      <c r="D225" s="187"/>
      <c r="E225" s="188"/>
      <c r="F225" s="189"/>
      <c r="G225" s="186"/>
      <c r="H225" s="187"/>
      <c r="I225" s="186"/>
      <c r="J225" s="187"/>
      <c r="K225" s="51"/>
      <c r="L225" s="190"/>
      <c r="M225" s="191"/>
      <c r="N225" s="192"/>
      <c r="O225" s="188"/>
      <c r="P225" s="189"/>
      <c r="Q225" s="186"/>
      <c r="R225" s="187"/>
    </row>
    <row r="226" spans="2:18">
      <c r="B226" s="185"/>
      <c r="C226" s="186"/>
      <c r="D226" s="187"/>
      <c r="E226" s="188"/>
      <c r="F226" s="189"/>
      <c r="G226" s="186"/>
      <c r="H226" s="187"/>
      <c r="I226" s="186"/>
      <c r="J226" s="187"/>
      <c r="K226" s="51"/>
      <c r="L226" s="190"/>
      <c r="M226" s="191"/>
      <c r="N226" s="192"/>
      <c r="O226" s="188"/>
      <c r="P226" s="189"/>
      <c r="Q226" s="186"/>
      <c r="R226" s="187"/>
    </row>
    <row r="227" spans="2:18">
      <c r="B227" s="185"/>
      <c r="C227" s="186"/>
      <c r="D227" s="187"/>
      <c r="E227" s="188"/>
      <c r="F227" s="189"/>
      <c r="G227" s="186"/>
      <c r="H227" s="187"/>
      <c r="I227" s="186"/>
      <c r="J227" s="187"/>
      <c r="K227" s="51"/>
      <c r="L227" s="190"/>
      <c r="M227" s="191"/>
      <c r="N227" s="192"/>
      <c r="O227" s="188"/>
      <c r="P227" s="189"/>
      <c r="Q227" s="186"/>
      <c r="R227" s="187"/>
    </row>
    <row r="228" spans="2:18">
      <c r="B228" s="185"/>
      <c r="C228" s="186"/>
      <c r="D228" s="187"/>
      <c r="E228" s="188"/>
      <c r="F228" s="189"/>
      <c r="G228" s="186"/>
      <c r="H228" s="187"/>
      <c r="I228" s="186"/>
      <c r="J228" s="187"/>
      <c r="K228" s="51"/>
      <c r="L228" s="190"/>
      <c r="M228" s="191"/>
      <c r="N228" s="192"/>
      <c r="O228" s="188"/>
      <c r="P228" s="189"/>
      <c r="Q228" s="186"/>
      <c r="R228" s="187"/>
    </row>
    <row r="229" spans="2:18">
      <c r="B229" s="185"/>
      <c r="C229" s="186"/>
      <c r="D229" s="187"/>
      <c r="E229" s="188"/>
      <c r="F229" s="189"/>
      <c r="G229" s="186"/>
      <c r="H229" s="187"/>
      <c r="I229" s="186"/>
      <c r="J229" s="187"/>
      <c r="K229" s="51"/>
      <c r="L229" s="190"/>
      <c r="M229" s="191"/>
      <c r="N229" s="192"/>
      <c r="O229" s="188"/>
      <c r="P229" s="189"/>
      <c r="Q229" s="186"/>
      <c r="R229" s="187"/>
    </row>
    <row r="230" spans="2:18">
      <c r="B230" s="185"/>
      <c r="C230" s="186"/>
      <c r="D230" s="187"/>
      <c r="E230" s="188"/>
      <c r="F230" s="189"/>
      <c r="G230" s="186"/>
      <c r="H230" s="187"/>
      <c r="I230" s="186"/>
      <c r="J230" s="187"/>
      <c r="K230" s="51"/>
      <c r="L230" s="190"/>
      <c r="M230" s="191"/>
      <c r="N230" s="192"/>
      <c r="O230" s="188"/>
      <c r="P230" s="189"/>
      <c r="Q230" s="186"/>
      <c r="R230" s="187"/>
    </row>
    <row r="231" spans="2:18">
      <c r="B231" s="185"/>
      <c r="C231" s="186"/>
      <c r="D231" s="187"/>
      <c r="E231" s="188"/>
      <c r="F231" s="189"/>
      <c r="G231" s="186"/>
      <c r="H231" s="187"/>
      <c r="I231" s="186"/>
      <c r="J231" s="187"/>
      <c r="K231" s="51"/>
      <c r="L231" s="190"/>
      <c r="M231" s="191"/>
      <c r="N231" s="192"/>
      <c r="O231" s="188"/>
      <c r="P231" s="189"/>
      <c r="Q231" s="186"/>
      <c r="R231" s="187"/>
    </row>
    <row r="232" spans="2:18">
      <c r="B232" s="185"/>
      <c r="C232" s="186"/>
      <c r="D232" s="187"/>
      <c r="E232" s="188"/>
      <c r="F232" s="189"/>
      <c r="G232" s="186"/>
      <c r="H232" s="187"/>
      <c r="I232" s="186"/>
      <c r="J232" s="187"/>
      <c r="K232" s="51"/>
      <c r="L232" s="190"/>
      <c r="M232" s="191"/>
      <c r="N232" s="192"/>
      <c r="O232" s="188"/>
      <c r="P232" s="189"/>
      <c r="Q232" s="186"/>
      <c r="R232" s="187"/>
    </row>
    <row r="233" spans="2:18">
      <c r="B233" s="185"/>
      <c r="C233" s="186"/>
      <c r="D233" s="187"/>
      <c r="E233" s="188"/>
      <c r="F233" s="189"/>
      <c r="G233" s="186"/>
      <c r="H233" s="187"/>
      <c r="I233" s="186"/>
      <c r="J233" s="187"/>
      <c r="K233" s="51"/>
      <c r="L233" s="190"/>
      <c r="M233" s="191"/>
      <c r="N233" s="192"/>
      <c r="O233" s="188"/>
      <c r="P233" s="189"/>
      <c r="Q233" s="186"/>
      <c r="R233" s="187"/>
    </row>
    <row r="234" spans="2:18">
      <c r="B234" s="185"/>
      <c r="C234" s="186"/>
      <c r="D234" s="187"/>
      <c r="E234" s="188"/>
      <c r="F234" s="189"/>
      <c r="G234" s="186"/>
      <c r="H234" s="187"/>
      <c r="I234" s="186"/>
      <c r="J234" s="187"/>
      <c r="K234" s="51"/>
      <c r="L234" s="190"/>
      <c r="M234" s="191"/>
      <c r="N234" s="192"/>
      <c r="O234" s="188"/>
      <c r="P234" s="189"/>
      <c r="Q234" s="186"/>
      <c r="R234" s="187"/>
    </row>
    <row r="235" spans="2:18">
      <c r="B235" s="185"/>
      <c r="C235" s="186"/>
      <c r="D235" s="187"/>
      <c r="E235" s="188"/>
      <c r="F235" s="189"/>
      <c r="G235" s="186"/>
      <c r="H235" s="187"/>
      <c r="I235" s="186"/>
      <c r="J235" s="187"/>
      <c r="K235" s="51"/>
      <c r="L235" s="190"/>
      <c r="M235" s="191"/>
      <c r="N235" s="192"/>
      <c r="O235" s="188"/>
      <c r="P235" s="189"/>
      <c r="Q235" s="186"/>
      <c r="R235" s="187"/>
    </row>
    <row r="236" spans="2:18">
      <c r="B236" s="185"/>
      <c r="C236" s="186"/>
      <c r="D236" s="187"/>
      <c r="E236" s="188"/>
      <c r="F236" s="189"/>
      <c r="G236" s="186"/>
      <c r="H236" s="187"/>
      <c r="I236" s="186"/>
      <c r="J236" s="187"/>
      <c r="K236" s="51"/>
      <c r="L236" s="190"/>
      <c r="M236" s="191"/>
      <c r="N236" s="192"/>
      <c r="O236" s="188"/>
      <c r="P236" s="189"/>
      <c r="Q236" s="186"/>
      <c r="R236" s="187"/>
    </row>
    <row r="237" spans="2:18">
      <c r="B237" s="185"/>
      <c r="C237" s="186"/>
      <c r="D237" s="187"/>
      <c r="E237" s="188"/>
      <c r="F237" s="189"/>
      <c r="G237" s="186"/>
      <c r="H237" s="187"/>
      <c r="I237" s="186"/>
      <c r="J237" s="187"/>
      <c r="K237" s="51"/>
      <c r="L237" s="190"/>
      <c r="M237" s="191"/>
      <c r="N237" s="192"/>
      <c r="O237" s="188"/>
      <c r="P237" s="189"/>
      <c r="Q237" s="186"/>
      <c r="R237" s="187"/>
    </row>
    <row r="238" spans="2:18">
      <c r="B238" s="185"/>
      <c r="C238" s="186"/>
      <c r="D238" s="187"/>
      <c r="E238" s="188"/>
      <c r="F238" s="189"/>
      <c r="G238" s="186"/>
      <c r="H238" s="187"/>
      <c r="I238" s="186"/>
      <c r="J238" s="187"/>
      <c r="K238" s="51"/>
      <c r="L238" s="190"/>
      <c r="M238" s="191"/>
      <c r="N238" s="192"/>
      <c r="O238" s="188"/>
      <c r="P238" s="189"/>
      <c r="Q238" s="186"/>
      <c r="R238" s="187"/>
    </row>
    <row r="239" spans="2:18">
      <c r="B239" s="185"/>
      <c r="C239" s="186"/>
      <c r="D239" s="187"/>
      <c r="E239" s="188"/>
      <c r="F239" s="189"/>
      <c r="G239" s="186"/>
      <c r="H239" s="187"/>
      <c r="I239" s="186"/>
      <c r="J239" s="187"/>
      <c r="K239" s="51"/>
      <c r="L239" s="190"/>
      <c r="M239" s="191"/>
      <c r="N239" s="192"/>
      <c r="O239" s="188"/>
      <c r="P239" s="189"/>
      <c r="Q239" s="186"/>
      <c r="R239" s="187"/>
    </row>
    <row r="240" spans="2:18">
      <c r="B240" s="185"/>
      <c r="C240" s="186"/>
      <c r="D240" s="187"/>
      <c r="E240" s="188"/>
      <c r="F240" s="189"/>
      <c r="G240" s="186"/>
      <c r="H240" s="187"/>
      <c r="I240" s="186"/>
      <c r="J240" s="187"/>
      <c r="K240" s="51"/>
      <c r="L240" s="190"/>
      <c r="M240" s="191"/>
      <c r="N240" s="192"/>
      <c r="O240" s="188"/>
      <c r="P240" s="189"/>
      <c r="Q240" s="186"/>
      <c r="R240" s="187"/>
    </row>
    <row r="241" spans="2:18">
      <c r="B241" s="185"/>
      <c r="C241" s="186"/>
      <c r="D241" s="187"/>
      <c r="E241" s="188"/>
      <c r="F241" s="189"/>
      <c r="G241" s="186"/>
      <c r="H241" s="187"/>
      <c r="I241" s="186"/>
      <c r="J241" s="187"/>
      <c r="K241" s="51"/>
      <c r="L241" s="190"/>
      <c r="M241" s="191"/>
      <c r="N241" s="192"/>
      <c r="O241" s="188"/>
      <c r="P241" s="189"/>
      <c r="Q241" s="186"/>
      <c r="R241" s="187"/>
    </row>
    <row r="242" spans="2:18">
      <c r="B242" s="185"/>
      <c r="C242" s="186"/>
      <c r="D242" s="187"/>
      <c r="E242" s="188"/>
      <c r="F242" s="189"/>
      <c r="G242" s="186"/>
      <c r="H242" s="187"/>
      <c r="I242" s="186"/>
      <c r="J242" s="187"/>
      <c r="K242" s="51"/>
      <c r="L242" s="190"/>
      <c r="M242" s="191"/>
      <c r="N242" s="192"/>
      <c r="O242" s="188"/>
      <c r="P242" s="189"/>
      <c r="Q242" s="186"/>
      <c r="R242" s="187"/>
    </row>
    <row r="243" spans="2:18">
      <c r="B243" s="185"/>
      <c r="C243" s="186"/>
      <c r="D243" s="187"/>
      <c r="E243" s="188"/>
      <c r="F243" s="189"/>
      <c r="G243" s="186"/>
      <c r="H243" s="187"/>
      <c r="I243" s="186"/>
      <c r="J243" s="187"/>
      <c r="K243" s="51"/>
      <c r="L243" s="190"/>
      <c r="M243" s="191"/>
      <c r="N243" s="192"/>
      <c r="O243" s="188"/>
      <c r="P243" s="189"/>
      <c r="Q243" s="186"/>
      <c r="R243" s="187"/>
    </row>
    <row r="244" spans="2:18">
      <c r="B244" s="185"/>
      <c r="C244" s="186"/>
      <c r="D244" s="187"/>
      <c r="E244" s="188"/>
      <c r="F244" s="189"/>
      <c r="G244" s="186"/>
      <c r="H244" s="187"/>
      <c r="I244" s="186"/>
      <c r="J244" s="187"/>
      <c r="K244" s="51"/>
      <c r="L244" s="190"/>
      <c r="M244" s="191"/>
      <c r="N244" s="192"/>
      <c r="O244" s="188"/>
      <c r="P244" s="189"/>
      <c r="Q244" s="186"/>
      <c r="R244" s="187"/>
    </row>
    <row r="245" spans="2:18">
      <c r="B245" s="185"/>
      <c r="C245" s="186"/>
      <c r="D245" s="187"/>
      <c r="E245" s="188"/>
      <c r="F245" s="189"/>
      <c r="G245" s="186"/>
      <c r="H245" s="187"/>
      <c r="I245" s="186"/>
      <c r="J245" s="187"/>
      <c r="K245" s="51"/>
      <c r="L245" s="190"/>
      <c r="M245" s="191"/>
      <c r="N245" s="192"/>
      <c r="O245" s="188"/>
      <c r="P245" s="189"/>
      <c r="Q245" s="186"/>
      <c r="R245" s="187"/>
    </row>
    <row r="246" spans="2:18">
      <c r="B246" s="185"/>
      <c r="C246" s="186"/>
      <c r="D246" s="187"/>
      <c r="E246" s="188"/>
      <c r="F246" s="189"/>
      <c r="G246" s="186"/>
      <c r="H246" s="187"/>
      <c r="I246" s="186"/>
      <c r="J246" s="187"/>
      <c r="K246" s="51"/>
      <c r="L246" s="190"/>
      <c r="M246" s="191"/>
      <c r="N246" s="192"/>
      <c r="O246" s="188"/>
      <c r="P246" s="189"/>
      <c r="Q246" s="186"/>
      <c r="R246" s="187"/>
    </row>
    <row r="247" spans="2:18">
      <c r="B247" s="185"/>
      <c r="C247" s="186"/>
      <c r="D247" s="187"/>
      <c r="E247" s="188"/>
      <c r="F247" s="189"/>
      <c r="G247" s="186"/>
      <c r="H247" s="187"/>
      <c r="I247" s="186"/>
      <c r="J247" s="187"/>
      <c r="K247" s="51"/>
      <c r="L247" s="190"/>
      <c r="M247" s="191"/>
      <c r="N247" s="192"/>
      <c r="O247" s="188"/>
      <c r="P247" s="189"/>
      <c r="Q247" s="186"/>
      <c r="R247" s="187"/>
    </row>
    <row r="248" spans="2:18">
      <c r="B248" s="185"/>
      <c r="C248" s="186"/>
      <c r="D248" s="187"/>
      <c r="E248" s="188"/>
      <c r="F248" s="189"/>
      <c r="G248" s="186"/>
      <c r="H248" s="187"/>
      <c r="I248" s="186"/>
      <c r="J248" s="187"/>
      <c r="K248" s="51"/>
      <c r="L248" s="190"/>
      <c r="M248" s="191"/>
      <c r="N248" s="192"/>
      <c r="O248" s="188"/>
      <c r="P248" s="189"/>
      <c r="Q248" s="186"/>
      <c r="R248" s="187"/>
    </row>
    <row r="249" spans="2:18">
      <c r="B249" s="185"/>
      <c r="C249" s="186"/>
      <c r="D249" s="187"/>
      <c r="E249" s="188"/>
      <c r="F249" s="189"/>
      <c r="G249" s="186"/>
      <c r="H249" s="187"/>
      <c r="I249" s="186"/>
      <c r="J249" s="187"/>
      <c r="K249" s="51"/>
      <c r="L249" s="190"/>
      <c r="M249" s="191"/>
      <c r="N249" s="192"/>
      <c r="O249" s="188"/>
      <c r="P249" s="189"/>
      <c r="Q249" s="186"/>
      <c r="R249" s="187"/>
    </row>
    <row r="250" spans="2:18">
      <c r="B250" s="185"/>
      <c r="C250" s="186"/>
      <c r="D250" s="187"/>
      <c r="E250" s="188"/>
      <c r="F250" s="189"/>
      <c r="G250" s="186"/>
      <c r="H250" s="187"/>
      <c r="I250" s="186"/>
      <c r="J250" s="187"/>
      <c r="K250" s="51"/>
      <c r="L250" s="190"/>
      <c r="M250" s="191"/>
      <c r="N250" s="192"/>
      <c r="O250" s="188"/>
      <c r="P250" s="189"/>
      <c r="Q250" s="186"/>
      <c r="R250" s="187"/>
    </row>
    <row r="251" spans="2:18">
      <c r="B251" s="185"/>
      <c r="C251" s="186"/>
      <c r="D251" s="187"/>
      <c r="E251" s="188"/>
      <c r="F251" s="189"/>
      <c r="G251" s="186"/>
      <c r="H251" s="187"/>
      <c r="I251" s="186"/>
      <c r="J251" s="187"/>
      <c r="K251" s="51"/>
      <c r="L251" s="190"/>
      <c r="M251" s="191"/>
      <c r="N251" s="192"/>
      <c r="O251" s="188"/>
      <c r="P251" s="189"/>
      <c r="Q251" s="186"/>
      <c r="R251" s="187"/>
    </row>
    <row r="252" spans="2:18">
      <c r="B252" s="185"/>
      <c r="C252" s="186"/>
      <c r="D252" s="187"/>
      <c r="E252" s="188"/>
      <c r="F252" s="189"/>
      <c r="G252" s="186"/>
      <c r="H252" s="187"/>
      <c r="I252" s="186"/>
      <c r="J252" s="187"/>
      <c r="K252" s="51"/>
      <c r="L252" s="190"/>
      <c r="M252" s="191"/>
      <c r="N252" s="192"/>
      <c r="O252" s="188"/>
      <c r="P252" s="189"/>
      <c r="Q252" s="186"/>
      <c r="R252" s="187"/>
    </row>
    <row r="253" spans="2:18">
      <c r="B253" s="185"/>
      <c r="C253" s="186"/>
      <c r="D253" s="187"/>
      <c r="E253" s="188"/>
      <c r="F253" s="189"/>
      <c r="G253" s="186"/>
      <c r="H253" s="187"/>
      <c r="I253" s="186"/>
      <c r="J253" s="187"/>
      <c r="K253" s="51"/>
      <c r="L253" s="190"/>
      <c r="M253" s="191"/>
      <c r="N253" s="192"/>
      <c r="O253" s="188"/>
      <c r="P253" s="189"/>
      <c r="Q253" s="186"/>
      <c r="R253" s="187"/>
    </row>
    <row r="254" spans="2:18">
      <c r="B254" s="185"/>
      <c r="C254" s="186"/>
      <c r="D254" s="187"/>
      <c r="E254" s="188"/>
      <c r="F254" s="189"/>
      <c r="G254" s="186"/>
      <c r="H254" s="187"/>
      <c r="I254" s="186"/>
      <c r="J254" s="187"/>
      <c r="K254" s="51"/>
      <c r="L254" s="190"/>
      <c r="M254" s="191"/>
      <c r="N254" s="192"/>
      <c r="O254" s="188"/>
      <c r="P254" s="189"/>
      <c r="Q254" s="186"/>
      <c r="R254" s="187"/>
    </row>
    <row r="255" spans="2:18">
      <c r="B255" s="185"/>
      <c r="C255" s="186"/>
      <c r="D255" s="187"/>
      <c r="E255" s="188"/>
      <c r="F255" s="189"/>
      <c r="G255" s="186"/>
      <c r="H255" s="187"/>
      <c r="I255" s="186"/>
      <c r="J255" s="187"/>
      <c r="K255" s="51"/>
      <c r="L255" s="190"/>
      <c r="M255" s="191"/>
      <c r="N255" s="192"/>
      <c r="O255" s="188"/>
      <c r="P255" s="189"/>
      <c r="Q255" s="186"/>
      <c r="R255" s="187"/>
    </row>
    <row r="256" spans="2:18">
      <c r="B256" s="185"/>
      <c r="C256" s="186"/>
      <c r="D256" s="187"/>
      <c r="E256" s="188"/>
      <c r="F256" s="189"/>
      <c r="G256" s="186"/>
      <c r="H256" s="187"/>
      <c r="I256" s="186"/>
      <c r="J256" s="187"/>
      <c r="K256" s="51"/>
      <c r="L256" s="190"/>
      <c r="M256" s="191"/>
      <c r="N256" s="192"/>
      <c r="O256" s="188"/>
      <c r="P256" s="189"/>
      <c r="Q256" s="186"/>
      <c r="R256" s="187"/>
    </row>
    <row r="257" spans="2:18">
      <c r="B257" s="185"/>
      <c r="C257" s="186"/>
      <c r="D257" s="187"/>
      <c r="E257" s="188"/>
      <c r="F257" s="189"/>
      <c r="G257" s="186"/>
      <c r="H257" s="187"/>
      <c r="I257" s="186"/>
      <c r="J257" s="187"/>
      <c r="K257" s="51"/>
      <c r="L257" s="190"/>
      <c r="M257" s="191"/>
      <c r="N257" s="192"/>
      <c r="O257" s="188"/>
      <c r="P257" s="189"/>
      <c r="Q257" s="186"/>
      <c r="R257" s="187"/>
    </row>
    <row r="258" spans="2:18">
      <c r="B258" s="185"/>
      <c r="C258" s="186"/>
      <c r="D258" s="187"/>
      <c r="E258" s="188"/>
      <c r="F258" s="189"/>
      <c r="G258" s="186"/>
      <c r="H258" s="187"/>
      <c r="I258" s="186"/>
      <c r="J258" s="187"/>
      <c r="K258" s="51"/>
      <c r="L258" s="190"/>
      <c r="M258" s="191"/>
      <c r="N258" s="192"/>
      <c r="O258" s="188"/>
      <c r="P258" s="189"/>
      <c r="Q258" s="186"/>
      <c r="R258" s="187"/>
    </row>
    <row r="259" spans="2:18">
      <c r="B259" s="185"/>
      <c r="C259" s="186"/>
      <c r="D259" s="187"/>
      <c r="E259" s="188"/>
      <c r="F259" s="189"/>
      <c r="G259" s="186"/>
      <c r="H259" s="187"/>
      <c r="I259" s="186"/>
      <c r="J259" s="187"/>
      <c r="K259" s="51"/>
      <c r="L259" s="190"/>
      <c r="M259" s="191"/>
      <c r="N259" s="192"/>
      <c r="O259" s="188"/>
      <c r="P259" s="189"/>
      <c r="Q259" s="186"/>
      <c r="R259" s="187"/>
    </row>
    <row r="260" spans="2:18">
      <c r="B260" s="185"/>
      <c r="C260" s="186"/>
      <c r="D260" s="187"/>
      <c r="E260" s="188"/>
      <c r="F260" s="189"/>
      <c r="G260" s="186"/>
      <c r="H260" s="187"/>
      <c r="I260" s="186"/>
      <c r="J260" s="187"/>
      <c r="K260" s="51"/>
      <c r="L260" s="190"/>
      <c r="M260" s="191"/>
      <c r="N260" s="192"/>
      <c r="O260" s="188"/>
      <c r="P260" s="189"/>
      <c r="Q260" s="186"/>
      <c r="R260" s="187"/>
    </row>
    <row r="261" spans="2:18">
      <c r="B261" s="185"/>
      <c r="C261" s="186"/>
      <c r="D261" s="187"/>
      <c r="E261" s="188"/>
      <c r="F261" s="189"/>
      <c r="G261" s="186"/>
      <c r="H261" s="187"/>
      <c r="I261" s="186"/>
      <c r="J261" s="187"/>
      <c r="K261" s="51"/>
      <c r="L261" s="190"/>
      <c r="M261" s="191"/>
      <c r="N261" s="192"/>
      <c r="O261" s="188"/>
      <c r="P261" s="189"/>
      <c r="Q261" s="186"/>
      <c r="R261" s="187"/>
    </row>
    <row r="262" spans="2:18">
      <c r="B262" s="185"/>
      <c r="C262" s="186"/>
      <c r="D262" s="187"/>
      <c r="E262" s="188"/>
      <c r="F262" s="189"/>
      <c r="G262" s="186"/>
      <c r="H262" s="187"/>
      <c r="I262" s="186"/>
      <c r="J262" s="187"/>
      <c r="K262" s="51"/>
      <c r="L262" s="190"/>
      <c r="M262" s="191"/>
      <c r="N262" s="192"/>
      <c r="O262" s="188"/>
      <c r="P262" s="189"/>
      <c r="Q262" s="186"/>
      <c r="R262" s="187"/>
    </row>
    <row r="263" spans="2:18">
      <c r="B263" s="185"/>
      <c r="C263" s="186"/>
      <c r="D263" s="187"/>
      <c r="E263" s="188"/>
      <c r="F263" s="189"/>
      <c r="G263" s="186"/>
      <c r="H263" s="187"/>
      <c r="I263" s="186"/>
      <c r="J263" s="187"/>
      <c r="K263" s="51"/>
      <c r="L263" s="190"/>
      <c r="M263" s="191"/>
      <c r="N263" s="192"/>
      <c r="O263" s="188"/>
      <c r="P263" s="189"/>
      <c r="Q263" s="186"/>
      <c r="R263" s="187"/>
    </row>
    <row r="264" spans="2:18">
      <c r="B264" s="185"/>
      <c r="C264" s="186"/>
      <c r="D264" s="187"/>
      <c r="E264" s="188"/>
      <c r="F264" s="189"/>
      <c r="G264" s="186"/>
      <c r="H264" s="187"/>
      <c r="I264" s="186"/>
      <c r="J264" s="187"/>
      <c r="K264" s="51"/>
      <c r="L264" s="190"/>
      <c r="M264" s="191"/>
      <c r="N264" s="192"/>
      <c r="O264" s="188"/>
      <c r="P264" s="189"/>
      <c r="Q264" s="186"/>
      <c r="R264" s="187"/>
    </row>
    <row r="265" spans="2:18">
      <c r="B265" s="185"/>
      <c r="C265" s="186"/>
      <c r="D265" s="187"/>
      <c r="E265" s="188"/>
      <c r="F265" s="189"/>
      <c r="G265" s="186"/>
      <c r="H265" s="187"/>
      <c r="I265" s="186"/>
      <c r="J265" s="187"/>
      <c r="K265" s="51"/>
      <c r="L265" s="190"/>
      <c r="M265" s="191"/>
      <c r="N265" s="192"/>
      <c r="O265" s="188"/>
      <c r="P265" s="189"/>
      <c r="Q265" s="186"/>
      <c r="R265" s="187"/>
    </row>
    <row r="266" spans="2:18">
      <c r="B266" s="185"/>
      <c r="C266" s="186"/>
      <c r="D266" s="187"/>
      <c r="E266" s="188"/>
      <c r="F266" s="189"/>
      <c r="G266" s="186"/>
      <c r="H266" s="187"/>
      <c r="I266" s="186"/>
      <c r="J266" s="187"/>
      <c r="K266" s="51"/>
      <c r="L266" s="190"/>
      <c r="M266" s="191"/>
      <c r="N266" s="192"/>
      <c r="O266" s="188"/>
      <c r="P266" s="189"/>
      <c r="Q266" s="186"/>
      <c r="R266" s="187"/>
    </row>
    <row r="267" spans="2:18">
      <c r="B267" s="185"/>
      <c r="C267" s="186"/>
      <c r="D267" s="187"/>
      <c r="E267" s="188"/>
      <c r="F267" s="189"/>
      <c r="G267" s="186"/>
      <c r="H267" s="187"/>
      <c r="I267" s="186"/>
      <c r="J267" s="187"/>
      <c r="K267" s="51"/>
      <c r="L267" s="190"/>
      <c r="M267" s="191"/>
      <c r="N267" s="192"/>
      <c r="O267" s="188"/>
      <c r="P267" s="189"/>
      <c r="Q267" s="186"/>
      <c r="R267" s="187"/>
    </row>
    <row r="268" spans="2:18">
      <c r="B268" s="185"/>
      <c r="C268" s="186"/>
      <c r="D268" s="187"/>
      <c r="E268" s="188"/>
      <c r="F268" s="189"/>
      <c r="G268" s="186"/>
      <c r="H268" s="187"/>
      <c r="I268" s="186"/>
      <c r="J268" s="187"/>
      <c r="K268" s="51"/>
      <c r="L268" s="190"/>
      <c r="M268" s="191"/>
      <c r="N268" s="192"/>
      <c r="O268" s="188"/>
      <c r="P268" s="189"/>
      <c r="Q268" s="186"/>
      <c r="R268" s="187"/>
    </row>
    <row r="269" spans="2:18">
      <c r="B269" s="185"/>
      <c r="C269" s="186"/>
      <c r="D269" s="187"/>
      <c r="E269" s="188"/>
      <c r="F269" s="189"/>
      <c r="G269" s="186"/>
      <c r="H269" s="187"/>
      <c r="I269" s="186"/>
      <c r="J269" s="187"/>
      <c r="K269" s="51"/>
      <c r="L269" s="190"/>
      <c r="M269" s="191"/>
      <c r="N269" s="192"/>
      <c r="O269" s="188"/>
      <c r="P269" s="189"/>
      <c r="Q269" s="186"/>
      <c r="R269" s="187"/>
    </row>
    <row r="270" spans="2:18">
      <c r="B270" s="185"/>
      <c r="C270" s="186"/>
      <c r="D270" s="187"/>
      <c r="E270" s="188"/>
      <c r="F270" s="189"/>
      <c r="G270" s="186"/>
      <c r="H270" s="187"/>
      <c r="I270" s="186"/>
      <c r="J270" s="187"/>
      <c r="K270" s="51"/>
      <c r="L270" s="190"/>
      <c r="M270" s="191"/>
      <c r="N270" s="192"/>
      <c r="O270" s="188"/>
      <c r="P270" s="189"/>
      <c r="Q270" s="186"/>
      <c r="R270" s="187"/>
    </row>
    <row r="271" spans="2:18">
      <c r="B271" s="185"/>
      <c r="C271" s="186"/>
      <c r="D271" s="187"/>
      <c r="E271" s="188"/>
      <c r="F271" s="189"/>
      <c r="G271" s="186"/>
      <c r="H271" s="187"/>
      <c r="I271" s="186"/>
      <c r="J271" s="187"/>
      <c r="K271" s="51"/>
      <c r="L271" s="190"/>
      <c r="M271" s="191"/>
      <c r="N271" s="192"/>
      <c r="O271" s="188"/>
      <c r="P271" s="189"/>
      <c r="Q271" s="186"/>
      <c r="R271" s="187"/>
    </row>
    <row r="272" spans="2:18">
      <c r="B272" s="185"/>
      <c r="C272" s="186"/>
      <c r="D272" s="187"/>
      <c r="E272" s="188"/>
      <c r="F272" s="189"/>
      <c r="G272" s="186"/>
      <c r="H272" s="187"/>
      <c r="I272" s="186"/>
      <c r="J272" s="187"/>
      <c r="K272" s="51"/>
      <c r="L272" s="190"/>
      <c r="M272" s="191"/>
      <c r="N272" s="192"/>
      <c r="O272" s="188"/>
      <c r="P272" s="189"/>
      <c r="Q272" s="186"/>
      <c r="R272" s="187"/>
    </row>
    <row r="273" spans="2:18">
      <c r="B273" s="185"/>
      <c r="C273" s="186"/>
      <c r="D273" s="187"/>
      <c r="E273" s="188"/>
      <c r="F273" s="189"/>
      <c r="G273" s="186"/>
      <c r="H273" s="187"/>
      <c r="I273" s="186"/>
      <c r="J273" s="187"/>
      <c r="K273" s="51"/>
      <c r="L273" s="190"/>
      <c r="M273" s="191"/>
      <c r="N273" s="192"/>
      <c r="O273" s="188"/>
      <c r="P273" s="189"/>
      <c r="Q273" s="186"/>
      <c r="R273" s="187"/>
    </row>
    <row r="274" spans="2:18">
      <c r="B274" s="185"/>
      <c r="C274" s="186"/>
      <c r="D274" s="187"/>
      <c r="E274" s="188"/>
      <c r="F274" s="189"/>
      <c r="G274" s="186"/>
      <c r="H274" s="187"/>
      <c r="I274" s="186"/>
      <c r="J274" s="187"/>
      <c r="K274" s="51"/>
      <c r="L274" s="190"/>
      <c r="M274" s="191"/>
      <c r="N274" s="192"/>
      <c r="O274" s="188"/>
      <c r="P274" s="189"/>
      <c r="Q274" s="186"/>
      <c r="R274" s="187"/>
    </row>
    <row r="275" spans="2:18">
      <c r="B275" s="185"/>
      <c r="C275" s="186"/>
      <c r="D275" s="187"/>
      <c r="E275" s="188"/>
      <c r="F275" s="189"/>
      <c r="G275" s="186"/>
      <c r="H275" s="187"/>
      <c r="I275" s="186"/>
      <c r="J275" s="187"/>
      <c r="K275" s="51"/>
      <c r="L275" s="190"/>
      <c r="M275" s="191"/>
      <c r="N275" s="192"/>
      <c r="O275" s="188"/>
      <c r="P275" s="189"/>
      <c r="Q275" s="186"/>
      <c r="R275" s="187"/>
    </row>
    <row r="276" spans="2:18">
      <c r="B276" s="185"/>
      <c r="C276" s="186"/>
      <c r="D276" s="187"/>
      <c r="E276" s="188"/>
      <c r="F276" s="189"/>
      <c r="G276" s="186"/>
      <c r="H276" s="187"/>
      <c r="I276" s="186"/>
      <c r="J276" s="187"/>
      <c r="K276" s="51"/>
      <c r="L276" s="190"/>
      <c r="M276" s="191"/>
      <c r="N276" s="192"/>
      <c r="O276" s="188"/>
      <c r="P276" s="189"/>
      <c r="Q276" s="186"/>
      <c r="R276" s="187"/>
    </row>
    <row r="277" spans="2:18">
      <c r="B277" s="185"/>
      <c r="C277" s="186"/>
      <c r="D277" s="187"/>
      <c r="E277" s="188"/>
      <c r="F277" s="189"/>
      <c r="G277" s="186"/>
      <c r="H277" s="187"/>
      <c r="I277" s="186"/>
      <c r="J277" s="187"/>
      <c r="K277" s="51"/>
      <c r="L277" s="190"/>
      <c r="M277" s="191"/>
      <c r="N277" s="192"/>
      <c r="O277" s="188"/>
      <c r="P277" s="189"/>
      <c r="Q277" s="186"/>
      <c r="R277" s="187"/>
    </row>
    <row r="278" spans="2:18">
      <c r="B278" s="185"/>
      <c r="C278" s="186"/>
      <c r="D278" s="187"/>
      <c r="E278" s="188"/>
      <c r="F278" s="189"/>
      <c r="G278" s="186"/>
      <c r="H278" s="187"/>
      <c r="I278" s="186"/>
      <c r="J278" s="187"/>
      <c r="K278" s="51"/>
      <c r="L278" s="190"/>
      <c r="M278" s="191"/>
      <c r="N278" s="192"/>
      <c r="O278" s="188"/>
      <c r="P278" s="189"/>
      <c r="Q278" s="186"/>
      <c r="R278" s="187"/>
    </row>
    <row r="279" spans="2:18">
      <c r="B279" s="185"/>
      <c r="C279" s="186"/>
      <c r="D279" s="187"/>
      <c r="E279" s="188"/>
      <c r="F279" s="189"/>
      <c r="G279" s="186"/>
      <c r="H279" s="187"/>
      <c r="I279" s="186"/>
      <c r="J279" s="187"/>
      <c r="K279" s="51"/>
      <c r="L279" s="190"/>
      <c r="M279" s="191"/>
      <c r="N279" s="192"/>
      <c r="O279" s="188"/>
      <c r="P279" s="189"/>
      <c r="Q279" s="186"/>
      <c r="R279" s="187"/>
    </row>
    <row r="280" spans="2:18">
      <c r="B280" s="185"/>
      <c r="C280" s="186"/>
      <c r="D280" s="187"/>
      <c r="E280" s="188"/>
      <c r="F280" s="189"/>
      <c r="G280" s="186"/>
      <c r="H280" s="187"/>
      <c r="I280" s="186"/>
      <c r="J280" s="187"/>
      <c r="K280" s="51"/>
      <c r="L280" s="190"/>
      <c r="M280" s="191"/>
      <c r="N280" s="192"/>
      <c r="O280" s="188"/>
      <c r="P280" s="189"/>
      <c r="Q280" s="186"/>
      <c r="R280" s="187"/>
    </row>
    <row r="281" spans="2:18">
      <c r="B281" s="185"/>
      <c r="C281" s="186"/>
      <c r="D281" s="187"/>
      <c r="E281" s="188"/>
      <c r="F281" s="189"/>
      <c r="G281" s="186"/>
      <c r="H281" s="187"/>
      <c r="I281" s="186"/>
      <c r="J281" s="187"/>
      <c r="K281" s="51"/>
      <c r="L281" s="190"/>
      <c r="M281" s="191"/>
      <c r="N281" s="192"/>
      <c r="O281" s="188"/>
      <c r="P281" s="189"/>
      <c r="Q281" s="186"/>
      <c r="R281" s="187"/>
    </row>
    <row r="282" spans="2:18">
      <c r="B282" s="185"/>
      <c r="C282" s="186"/>
      <c r="D282" s="187"/>
      <c r="E282" s="188"/>
      <c r="F282" s="189"/>
      <c r="G282" s="186"/>
      <c r="H282" s="187"/>
      <c r="I282" s="186"/>
      <c r="J282" s="187"/>
      <c r="K282" s="51"/>
      <c r="L282" s="190"/>
      <c r="M282" s="191"/>
      <c r="N282" s="192"/>
      <c r="O282" s="188"/>
      <c r="P282" s="189"/>
      <c r="Q282" s="186"/>
      <c r="R282" s="187"/>
    </row>
    <row r="283" spans="2:18">
      <c r="B283" s="185"/>
      <c r="C283" s="186"/>
      <c r="D283" s="187"/>
      <c r="E283" s="188"/>
      <c r="F283" s="189"/>
      <c r="G283" s="186"/>
      <c r="H283" s="187"/>
      <c r="I283" s="186"/>
      <c r="J283" s="187"/>
      <c r="K283" s="51"/>
      <c r="L283" s="190"/>
      <c r="M283" s="191"/>
      <c r="N283" s="192"/>
      <c r="O283" s="188"/>
      <c r="P283" s="189"/>
      <c r="Q283" s="186"/>
      <c r="R283" s="187"/>
    </row>
    <row r="284" spans="2:18">
      <c r="B284" s="185"/>
      <c r="C284" s="186"/>
      <c r="D284" s="187"/>
      <c r="E284" s="188"/>
      <c r="F284" s="189"/>
      <c r="G284" s="186"/>
      <c r="H284" s="187"/>
      <c r="I284" s="186"/>
      <c r="J284" s="187"/>
      <c r="K284" s="51"/>
      <c r="L284" s="190"/>
      <c r="M284" s="191"/>
      <c r="N284" s="192"/>
      <c r="O284" s="188"/>
      <c r="P284" s="189"/>
      <c r="Q284" s="186"/>
      <c r="R284" s="187"/>
    </row>
    <row r="285" spans="2:18">
      <c r="B285" s="185"/>
      <c r="C285" s="186"/>
      <c r="D285" s="187"/>
      <c r="E285" s="188"/>
      <c r="F285" s="189"/>
      <c r="G285" s="186"/>
      <c r="H285" s="187"/>
      <c r="I285" s="186"/>
      <c r="J285" s="187"/>
      <c r="K285" s="51"/>
      <c r="L285" s="190"/>
      <c r="M285" s="191"/>
      <c r="N285" s="192"/>
      <c r="O285" s="188"/>
      <c r="P285" s="189"/>
      <c r="Q285" s="186"/>
      <c r="R285" s="187"/>
    </row>
    <row r="286" spans="2:18">
      <c r="B286" s="185"/>
      <c r="C286" s="186"/>
      <c r="D286" s="187"/>
      <c r="E286" s="188"/>
      <c r="F286" s="189"/>
      <c r="G286" s="186"/>
      <c r="H286" s="187"/>
      <c r="I286" s="186"/>
      <c r="J286" s="187"/>
      <c r="K286" s="51"/>
      <c r="L286" s="190"/>
      <c r="M286" s="191"/>
      <c r="N286" s="192"/>
      <c r="O286" s="188"/>
      <c r="P286" s="189"/>
      <c r="Q286" s="186"/>
      <c r="R286" s="187"/>
    </row>
    <row r="287" spans="2:18">
      <c r="B287" s="185"/>
      <c r="C287" s="186"/>
      <c r="D287" s="187"/>
      <c r="E287" s="188"/>
      <c r="F287" s="189"/>
      <c r="G287" s="186"/>
      <c r="H287" s="187"/>
      <c r="I287" s="186"/>
      <c r="J287" s="187"/>
      <c r="K287" s="51"/>
      <c r="L287" s="190"/>
      <c r="M287" s="191"/>
      <c r="N287" s="192"/>
      <c r="O287" s="188"/>
      <c r="P287" s="189"/>
      <c r="Q287" s="186"/>
      <c r="R287" s="187"/>
    </row>
    <row r="288" spans="2:18">
      <c r="B288" s="185"/>
      <c r="C288" s="186"/>
      <c r="D288" s="187"/>
      <c r="E288" s="188"/>
      <c r="F288" s="189"/>
      <c r="G288" s="186"/>
      <c r="H288" s="187"/>
      <c r="I288" s="186"/>
      <c r="J288" s="187"/>
      <c r="K288" s="51"/>
      <c r="L288" s="190"/>
      <c r="M288" s="191"/>
      <c r="N288" s="192"/>
      <c r="O288" s="188"/>
      <c r="P288" s="189"/>
      <c r="Q288" s="186"/>
      <c r="R288" s="187"/>
    </row>
    <row r="289" spans="2:18">
      <c r="B289" s="185"/>
      <c r="C289" s="186"/>
      <c r="D289" s="187"/>
      <c r="E289" s="188"/>
      <c r="F289" s="189"/>
      <c r="G289" s="186"/>
      <c r="H289" s="187"/>
      <c r="I289" s="186"/>
      <c r="J289" s="187"/>
      <c r="K289" s="51"/>
      <c r="L289" s="190"/>
      <c r="M289" s="191"/>
      <c r="N289" s="192"/>
      <c r="O289" s="188"/>
      <c r="P289" s="189"/>
      <c r="Q289" s="186"/>
      <c r="R289" s="187"/>
    </row>
    <row r="290" spans="2:18">
      <c r="B290" s="185"/>
      <c r="C290" s="186"/>
      <c r="D290" s="187"/>
      <c r="E290" s="188"/>
      <c r="F290" s="189"/>
      <c r="G290" s="186"/>
      <c r="H290" s="187"/>
      <c r="I290" s="186"/>
      <c r="J290" s="187"/>
      <c r="K290" s="51"/>
      <c r="L290" s="190"/>
      <c r="M290" s="191"/>
      <c r="N290" s="192"/>
      <c r="O290" s="188"/>
      <c r="P290" s="189"/>
      <c r="Q290" s="186"/>
      <c r="R290" s="187"/>
    </row>
    <row r="291" spans="2:18">
      <c r="B291" s="185"/>
      <c r="C291" s="186"/>
      <c r="D291" s="187"/>
      <c r="E291" s="188"/>
      <c r="F291" s="189"/>
      <c r="G291" s="186"/>
      <c r="H291" s="187"/>
      <c r="I291" s="186"/>
      <c r="J291" s="187"/>
      <c r="K291" s="51"/>
      <c r="L291" s="190"/>
      <c r="M291" s="191"/>
      <c r="N291" s="192"/>
      <c r="O291" s="188"/>
      <c r="P291" s="189"/>
      <c r="Q291" s="186"/>
      <c r="R291" s="187"/>
    </row>
    <row r="292" spans="2:18">
      <c r="B292" s="185"/>
      <c r="C292" s="186"/>
      <c r="D292" s="187"/>
      <c r="E292" s="188"/>
      <c r="F292" s="189"/>
      <c r="G292" s="186"/>
      <c r="H292" s="187"/>
      <c r="I292" s="186"/>
      <c r="J292" s="187"/>
      <c r="K292" s="51"/>
      <c r="L292" s="190"/>
      <c r="M292" s="191"/>
      <c r="N292" s="192"/>
      <c r="O292" s="188"/>
      <c r="P292" s="189"/>
      <c r="Q292" s="186"/>
      <c r="R292" s="187"/>
    </row>
    <row r="293" spans="2:18">
      <c r="B293" s="185"/>
      <c r="C293" s="186"/>
      <c r="D293" s="187"/>
      <c r="E293" s="188"/>
      <c r="F293" s="189"/>
      <c r="G293" s="186"/>
      <c r="H293" s="187"/>
      <c r="I293" s="186"/>
      <c r="J293" s="187"/>
      <c r="K293" s="51"/>
      <c r="L293" s="190"/>
      <c r="M293" s="191"/>
      <c r="N293" s="192"/>
      <c r="O293" s="188"/>
      <c r="P293" s="189"/>
      <c r="Q293" s="186"/>
      <c r="R293" s="187"/>
    </row>
    <row r="294" spans="2:18">
      <c r="B294" s="185"/>
      <c r="C294" s="186"/>
      <c r="D294" s="187"/>
      <c r="E294" s="188"/>
      <c r="F294" s="189"/>
      <c r="G294" s="186"/>
      <c r="H294" s="187"/>
      <c r="I294" s="186"/>
      <c r="J294" s="187"/>
      <c r="K294" s="51"/>
      <c r="L294" s="190"/>
      <c r="M294" s="191"/>
      <c r="N294" s="192"/>
      <c r="O294" s="188"/>
      <c r="P294" s="189"/>
      <c r="Q294" s="186"/>
      <c r="R294" s="187"/>
    </row>
    <row r="295" spans="2:18">
      <c r="B295" s="185"/>
      <c r="C295" s="186"/>
      <c r="D295" s="187"/>
      <c r="E295" s="188"/>
      <c r="F295" s="189"/>
      <c r="G295" s="186"/>
      <c r="H295" s="187"/>
      <c r="I295" s="186"/>
      <c r="J295" s="187"/>
      <c r="K295" s="51"/>
      <c r="L295" s="190"/>
      <c r="M295" s="191"/>
      <c r="N295" s="192"/>
      <c r="O295" s="188"/>
      <c r="P295" s="189"/>
      <c r="Q295" s="186"/>
      <c r="R295" s="187"/>
    </row>
    <row r="296" spans="2:18">
      <c r="B296" s="185"/>
      <c r="C296" s="186"/>
      <c r="D296" s="187"/>
      <c r="E296" s="188"/>
      <c r="F296" s="189"/>
      <c r="G296" s="186"/>
      <c r="H296" s="187"/>
      <c r="I296" s="186"/>
      <c r="J296" s="187"/>
      <c r="K296" s="51"/>
      <c r="L296" s="190"/>
      <c r="M296" s="191"/>
      <c r="N296" s="192"/>
      <c r="O296" s="188"/>
      <c r="P296" s="189"/>
      <c r="Q296" s="186"/>
      <c r="R296" s="187"/>
    </row>
    <row r="297" spans="2:18">
      <c r="B297" s="185"/>
      <c r="C297" s="186"/>
      <c r="D297" s="187"/>
      <c r="E297" s="188"/>
      <c r="F297" s="189"/>
      <c r="G297" s="186"/>
      <c r="H297" s="187"/>
      <c r="I297" s="186"/>
      <c r="J297" s="187"/>
      <c r="K297" s="51"/>
      <c r="L297" s="190"/>
      <c r="M297" s="191"/>
      <c r="N297" s="192"/>
      <c r="O297" s="188"/>
      <c r="P297" s="189"/>
      <c r="Q297" s="186"/>
      <c r="R297" s="187"/>
    </row>
    <row r="298" spans="2:18">
      <c r="B298" s="185"/>
      <c r="C298" s="186"/>
      <c r="D298" s="187"/>
      <c r="E298" s="188"/>
      <c r="F298" s="189"/>
      <c r="G298" s="186"/>
      <c r="H298" s="187"/>
      <c r="I298" s="186"/>
      <c r="J298" s="187"/>
      <c r="K298" s="51"/>
      <c r="L298" s="190"/>
      <c r="M298" s="191"/>
      <c r="N298" s="192"/>
      <c r="O298" s="188"/>
      <c r="P298" s="189"/>
      <c r="Q298" s="186"/>
      <c r="R298" s="187"/>
    </row>
    <row r="299" spans="2:18">
      <c r="B299" s="185"/>
      <c r="C299" s="186"/>
      <c r="D299" s="187"/>
      <c r="E299" s="188"/>
      <c r="F299" s="189"/>
      <c r="G299" s="186"/>
      <c r="H299" s="187"/>
      <c r="I299" s="186"/>
      <c r="J299" s="187"/>
      <c r="K299" s="51"/>
      <c r="L299" s="190"/>
      <c r="M299" s="191"/>
      <c r="N299" s="192"/>
      <c r="O299" s="188"/>
      <c r="P299" s="189"/>
      <c r="Q299" s="186"/>
      <c r="R299" s="187"/>
    </row>
    <row r="300" spans="2:18">
      <c r="B300" s="185"/>
      <c r="C300" s="186"/>
      <c r="D300" s="187"/>
      <c r="E300" s="188"/>
      <c r="F300" s="189"/>
      <c r="G300" s="186"/>
      <c r="H300" s="187"/>
      <c r="I300" s="186"/>
      <c r="J300" s="187"/>
      <c r="K300" s="51"/>
      <c r="L300" s="190"/>
      <c r="M300" s="191"/>
      <c r="N300" s="192"/>
      <c r="O300" s="188"/>
      <c r="P300" s="189"/>
      <c r="Q300" s="186"/>
      <c r="R300" s="187"/>
    </row>
    <row r="301" spans="2:18">
      <c r="B301" s="185"/>
      <c r="C301" s="186"/>
      <c r="D301" s="187"/>
      <c r="E301" s="188"/>
      <c r="F301" s="189"/>
      <c r="G301" s="186"/>
      <c r="H301" s="187"/>
      <c r="I301" s="186"/>
      <c r="J301" s="187"/>
      <c r="K301" s="51"/>
      <c r="L301" s="190"/>
      <c r="M301" s="191"/>
      <c r="N301" s="192"/>
      <c r="O301" s="188"/>
      <c r="P301" s="189"/>
      <c r="Q301" s="186"/>
      <c r="R301" s="187"/>
    </row>
    <row r="302" spans="2:18">
      <c r="B302" s="185"/>
      <c r="C302" s="186"/>
      <c r="D302" s="187"/>
      <c r="E302" s="188"/>
      <c r="F302" s="189"/>
      <c r="G302" s="186"/>
      <c r="H302" s="187"/>
      <c r="I302" s="186"/>
      <c r="J302" s="187"/>
      <c r="K302" s="51"/>
      <c r="L302" s="190"/>
      <c r="M302" s="191"/>
      <c r="N302" s="192"/>
      <c r="O302" s="188"/>
      <c r="P302" s="189"/>
      <c r="Q302" s="186"/>
      <c r="R302" s="187"/>
    </row>
    <row r="303" spans="2:18">
      <c r="B303" s="185"/>
      <c r="C303" s="186"/>
      <c r="D303" s="187"/>
      <c r="E303" s="188"/>
      <c r="F303" s="189"/>
      <c r="G303" s="186"/>
      <c r="H303" s="187"/>
      <c r="I303" s="186"/>
      <c r="J303" s="187"/>
      <c r="K303" s="51"/>
      <c r="L303" s="190"/>
      <c r="M303" s="191"/>
      <c r="N303" s="192"/>
      <c r="O303" s="188"/>
      <c r="P303" s="189"/>
      <c r="Q303" s="186"/>
      <c r="R303" s="187"/>
    </row>
    <row r="304" spans="2:18">
      <c r="B304" s="185"/>
      <c r="C304" s="186"/>
      <c r="D304" s="187"/>
      <c r="E304" s="188"/>
      <c r="F304" s="189"/>
      <c r="G304" s="186"/>
      <c r="H304" s="187"/>
      <c r="I304" s="186"/>
      <c r="J304" s="187"/>
      <c r="K304" s="51"/>
      <c r="L304" s="190"/>
      <c r="M304" s="191"/>
      <c r="N304" s="192"/>
      <c r="O304" s="188"/>
      <c r="P304" s="189"/>
      <c r="Q304" s="186"/>
      <c r="R304" s="187"/>
    </row>
    <row r="305" spans="2:18">
      <c r="B305" s="185"/>
      <c r="C305" s="186"/>
      <c r="D305" s="187"/>
      <c r="E305" s="188"/>
      <c r="F305" s="189"/>
      <c r="G305" s="186"/>
      <c r="H305" s="187"/>
      <c r="I305" s="186"/>
      <c r="J305" s="187"/>
      <c r="K305" s="51"/>
      <c r="L305" s="190"/>
      <c r="M305" s="191"/>
      <c r="N305" s="192"/>
      <c r="O305" s="188"/>
      <c r="P305" s="189"/>
      <c r="Q305" s="186"/>
      <c r="R305" s="187"/>
    </row>
    <row r="306" spans="2:18">
      <c r="B306" s="185"/>
      <c r="C306" s="186"/>
      <c r="D306" s="187"/>
      <c r="E306" s="188"/>
      <c r="F306" s="189"/>
      <c r="G306" s="186"/>
      <c r="H306" s="187"/>
      <c r="I306" s="186"/>
      <c r="J306" s="187"/>
      <c r="K306" s="51"/>
      <c r="L306" s="190"/>
      <c r="M306" s="191"/>
      <c r="N306" s="192"/>
      <c r="O306" s="188"/>
      <c r="P306" s="189"/>
      <c r="Q306" s="186"/>
      <c r="R306" s="187"/>
    </row>
    <row r="307" spans="2:18">
      <c r="B307" s="185"/>
      <c r="C307" s="186"/>
      <c r="D307" s="187"/>
      <c r="E307" s="188"/>
      <c r="F307" s="189"/>
      <c r="G307" s="186"/>
      <c r="H307" s="187"/>
      <c r="I307" s="186"/>
      <c r="J307" s="187"/>
      <c r="K307" s="51"/>
      <c r="L307" s="190"/>
      <c r="M307" s="191"/>
      <c r="N307" s="192"/>
      <c r="O307" s="188"/>
      <c r="P307" s="189"/>
      <c r="Q307" s="186"/>
      <c r="R307" s="187"/>
    </row>
    <row r="308" spans="2:18">
      <c r="B308" s="185"/>
      <c r="C308" s="186"/>
      <c r="D308" s="187"/>
      <c r="E308" s="188"/>
      <c r="F308" s="189"/>
      <c r="G308" s="186"/>
      <c r="H308" s="187"/>
      <c r="I308" s="186"/>
      <c r="J308" s="187"/>
      <c r="K308" s="51"/>
      <c r="L308" s="190"/>
      <c r="M308" s="191"/>
      <c r="N308" s="192"/>
      <c r="O308" s="188"/>
      <c r="P308" s="189"/>
      <c r="Q308" s="186"/>
      <c r="R308" s="187"/>
    </row>
    <row r="309" spans="2:18">
      <c r="B309" s="185"/>
      <c r="C309" s="186"/>
      <c r="D309" s="187"/>
      <c r="E309" s="188"/>
      <c r="F309" s="189"/>
      <c r="G309" s="186"/>
      <c r="H309" s="187"/>
      <c r="I309" s="186"/>
      <c r="J309" s="187"/>
      <c r="K309" s="51"/>
      <c r="L309" s="190"/>
      <c r="M309" s="191"/>
      <c r="N309" s="192"/>
      <c r="O309" s="188"/>
      <c r="P309" s="189"/>
      <c r="Q309" s="186"/>
      <c r="R309" s="187"/>
    </row>
    <row r="310" spans="2:18">
      <c r="B310" s="185"/>
      <c r="C310" s="186"/>
      <c r="D310" s="187"/>
      <c r="E310" s="188"/>
      <c r="F310" s="189"/>
      <c r="G310" s="186"/>
      <c r="H310" s="187"/>
      <c r="I310" s="186"/>
      <c r="J310" s="187"/>
      <c r="K310" s="51"/>
      <c r="L310" s="190"/>
      <c r="M310" s="191"/>
      <c r="N310" s="192"/>
      <c r="O310" s="188"/>
      <c r="P310" s="189"/>
      <c r="Q310" s="186"/>
      <c r="R310" s="187"/>
    </row>
    <row r="311" spans="2:18">
      <c r="B311" s="185"/>
      <c r="C311" s="186"/>
      <c r="D311" s="187"/>
      <c r="E311" s="188"/>
      <c r="F311" s="189"/>
      <c r="G311" s="186"/>
      <c r="H311" s="187"/>
      <c r="I311" s="186"/>
      <c r="J311" s="187"/>
      <c r="K311" s="51"/>
      <c r="L311" s="190"/>
      <c r="M311" s="191"/>
      <c r="N311" s="192"/>
      <c r="O311" s="188"/>
      <c r="P311" s="189"/>
      <c r="Q311" s="186"/>
      <c r="R311" s="187"/>
    </row>
    <row r="312" spans="2:18">
      <c r="B312" s="185"/>
      <c r="C312" s="186"/>
      <c r="D312" s="187"/>
      <c r="E312" s="188"/>
      <c r="F312" s="189"/>
      <c r="G312" s="186"/>
      <c r="H312" s="187"/>
      <c r="I312" s="186"/>
      <c r="J312" s="187"/>
      <c r="K312" s="51"/>
      <c r="L312" s="190"/>
      <c r="M312" s="191"/>
      <c r="N312" s="192"/>
      <c r="O312" s="188"/>
      <c r="P312" s="189"/>
      <c r="Q312" s="186"/>
      <c r="R312" s="187"/>
    </row>
    <row r="313" spans="2:18">
      <c r="B313" s="185"/>
      <c r="C313" s="186"/>
      <c r="D313" s="187"/>
      <c r="E313" s="188"/>
      <c r="F313" s="189"/>
      <c r="G313" s="186"/>
      <c r="H313" s="187"/>
      <c r="I313" s="186"/>
      <c r="J313" s="187"/>
      <c r="K313" s="51"/>
      <c r="L313" s="190"/>
      <c r="M313" s="191"/>
      <c r="N313" s="192"/>
      <c r="O313" s="188"/>
      <c r="P313" s="189"/>
      <c r="Q313" s="186"/>
      <c r="R313" s="187"/>
    </row>
    <row r="314" spans="2:18">
      <c r="B314" s="185"/>
      <c r="C314" s="186"/>
      <c r="D314" s="187"/>
      <c r="E314" s="188"/>
      <c r="F314" s="189"/>
      <c r="G314" s="186"/>
      <c r="H314" s="187"/>
      <c r="I314" s="186"/>
      <c r="J314" s="187"/>
      <c r="K314" s="51"/>
      <c r="L314" s="190"/>
      <c r="M314" s="191"/>
      <c r="N314" s="192"/>
      <c r="O314" s="188"/>
      <c r="P314" s="189"/>
      <c r="Q314" s="186"/>
      <c r="R314" s="187"/>
    </row>
    <row r="315" spans="2:18">
      <c r="B315" s="185"/>
      <c r="C315" s="186"/>
      <c r="D315" s="187"/>
      <c r="E315" s="188"/>
      <c r="F315" s="189"/>
      <c r="G315" s="186"/>
      <c r="H315" s="187"/>
      <c r="I315" s="186"/>
      <c r="J315" s="187"/>
      <c r="K315" s="51"/>
      <c r="L315" s="190"/>
      <c r="M315" s="191"/>
      <c r="N315" s="192"/>
      <c r="O315" s="188"/>
      <c r="P315" s="189"/>
      <c r="Q315" s="186"/>
      <c r="R315" s="187"/>
    </row>
    <row r="316" spans="2:18">
      <c r="B316" s="185"/>
      <c r="C316" s="186"/>
      <c r="D316" s="187"/>
      <c r="E316" s="188"/>
      <c r="F316" s="189"/>
      <c r="G316" s="186"/>
      <c r="H316" s="187"/>
      <c r="I316" s="186"/>
      <c r="J316" s="187"/>
      <c r="K316" s="51"/>
      <c r="L316" s="190"/>
      <c r="M316" s="191"/>
      <c r="N316" s="192"/>
      <c r="O316" s="188"/>
      <c r="P316" s="189"/>
      <c r="Q316" s="186"/>
      <c r="R316" s="187"/>
    </row>
    <row r="317" spans="2:18">
      <c r="B317" s="185"/>
      <c r="C317" s="186"/>
      <c r="D317" s="187"/>
      <c r="E317" s="188"/>
      <c r="F317" s="189"/>
      <c r="G317" s="186"/>
      <c r="H317" s="187"/>
      <c r="I317" s="186"/>
      <c r="J317" s="187"/>
      <c r="K317" s="51"/>
      <c r="L317" s="190"/>
      <c r="M317" s="191"/>
      <c r="N317" s="192"/>
      <c r="O317" s="188"/>
      <c r="P317" s="189"/>
      <c r="Q317" s="186"/>
      <c r="R317" s="187"/>
    </row>
    <row r="318" spans="2:18">
      <c r="B318" s="185"/>
      <c r="C318" s="186"/>
      <c r="D318" s="187"/>
      <c r="E318" s="188"/>
      <c r="F318" s="189"/>
      <c r="G318" s="186"/>
      <c r="H318" s="187"/>
      <c r="I318" s="186"/>
      <c r="J318" s="187"/>
      <c r="K318" s="51"/>
      <c r="L318" s="190"/>
      <c r="M318" s="191"/>
      <c r="N318" s="192"/>
      <c r="O318" s="188"/>
      <c r="P318" s="189"/>
      <c r="Q318" s="186"/>
      <c r="R318" s="187"/>
    </row>
    <row r="319" spans="2:18">
      <c r="B319" s="185"/>
      <c r="C319" s="186"/>
      <c r="D319" s="187"/>
      <c r="E319" s="188"/>
      <c r="F319" s="189"/>
      <c r="G319" s="186"/>
      <c r="H319" s="187"/>
      <c r="I319" s="186"/>
      <c r="J319" s="187"/>
      <c r="K319" s="51"/>
      <c r="L319" s="190"/>
      <c r="M319" s="191"/>
      <c r="N319" s="192"/>
      <c r="O319" s="188"/>
      <c r="P319" s="189"/>
      <c r="Q319" s="186"/>
      <c r="R319" s="187"/>
    </row>
    <row r="320" spans="2:18">
      <c r="B320" s="185"/>
      <c r="C320" s="186"/>
      <c r="D320" s="187"/>
      <c r="E320" s="188"/>
      <c r="F320" s="189"/>
      <c r="G320" s="186"/>
      <c r="H320" s="187"/>
      <c r="I320" s="186"/>
      <c r="J320" s="187"/>
      <c r="K320" s="51"/>
      <c r="L320" s="190"/>
      <c r="M320" s="191"/>
      <c r="N320" s="192"/>
      <c r="O320" s="188"/>
      <c r="P320" s="189"/>
      <c r="Q320" s="186"/>
      <c r="R320" s="187"/>
    </row>
    <row r="321" spans="2:18">
      <c r="B321" s="185"/>
      <c r="C321" s="186"/>
      <c r="D321" s="187"/>
      <c r="E321" s="188"/>
      <c r="F321" s="189"/>
      <c r="G321" s="186"/>
      <c r="H321" s="187"/>
      <c r="I321" s="186"/>
      <c r="J321" s="187"/>
      <c r="K321" s="51"/>
      <c r="L321" s="190"/>
      <c r="M321" s="191"/>
      <c r="N321" s="192"/>
      <c r="O321" s="188"/>
      <c r="P321" s="189"/>
      <c r="Q321" s="186"/>
      <c r="R321" s="187"/>
    </row>
    <row r="322" spans="2:18">
      <c r="B322" s="185"/>
      <c r="C322" s="186"/>
      <c r="D322" s="187"/>
      <c r="E322" s="188"/>
      <c r="F322" s="189"/>
      <c r="G322" s="186"/>
      <c r="H322" s="187"/>
      <c r="I322" s="186"/>
      <c r="J322" s="187"/>
      <c r="K322" s="51"/>
      <c r="L322" s="190"/>
      <c r="M322" s="191"/>
      <c r="N322" s="192"/>
      <c r="O322" s="188"/>
      <c r="P322" s="189"/>
      <c r="Q322" s="186"/>
      <c r="R322" s="187"/>
    </row>
    <row r="323" spans="2:18">
      <c r="B323" s="185"/>
      <c r="C323" s="186"/>
      <c r="D323" s="187"/>
      <c r="E323" s="188"/>
      <c r="F323" s="189"/>
      <c r="G323" s="186"/>
      <c r="H323" s="187"/>
      <c r="I323" s="186"/>
      <c r="J323" s="187"/>
      <c r="K323" s="51"/>
      <c r="L323" s="190"/>
      <c r="M323" s="191"/>
      <c r="N323" s="192"/>
      <c r="O323" s="188"/>
      <c r="P323" s="189"/>
      <c r="Q323" s="186"/>
      <c r="R323" s="187"/>
    </row>
    <row r="324" spans="2:18">
      <c r="B324" s="185"/>
      <c r="C324" s="186"/>
      <c r="D324" s="187"/>
      <c r="E324" s="188"/>
      <c r="F324" s="189"/>
      <c r="G324" s="186"/>
      <c r="H324" s="187"/>
      <c r="I324" s="186"/>
      <c r="J324" s="187"/>
      <c r="K324" s="51"/>
      <c r="L324" s="190"/>
      <c r="M324" s="191"/>
      <c r="N324" s="192"/>
      <c r="O324" s="188"/>
      <c r="P324" s="189"/>
      <c r="Q324" s="186"/>
      <c r="R324" s="187"/>
    </row>
    <row r="325" spans="2:18">
      <c r="B325" s="185"/>
      <c r="C325" s="186"/>
      <c r="D325" s="187"/>
      <c r="E325" s="188"/>
      <c r="F325" s="189"/>
      <c r="G325" s="186"/>
      <c r="H325" s="187"/>
      <c r="I325" s="186"/>
      <c r="J325" s="187"/>
      <c r="K325" s="51"/>
      <c r="L325" s="190"/>
      <c r="M325" s="191"/>
      <c r="N325" s="192"/>
      <c r="O325" s="188"/>
      <c r="P325" s="189"/>
      <c r="Q325" s="186"/>
      <c r="R325" s="187"/>
    </row>
    <row r="326" spans="2:18">
      <c r="B326" s="185"/>
      <c r="C326" s="186"/>
      <c r="D326" s="187"/>
      <c r="E326" s="188"/>
      <c r="F326" s="189"/>
      <c r="G326" s="186"/>
      <c r="H326" s="187"/>
      <c r="I326" s="186"/>
      <c r="J326" s="187"/>
      <c r="K326" s="51"/>
      <c r="L326" s="190"/>
      <c r="M326" s="191"/>
      <c r="N326" s="192"/>
      <c r="O326" s="188"/>
      <c r="P326" s="189"/>
      <c r="Q326" s="186"/>
      <c r="R326" s="187"/>
    </row>
    <row r="327" spans="2:18">
      <c r="B327" s="185"/>
      <c r="C327" s="186"/>
      <c r="D327" s="187"/>
      <c r="E327" s="188"/>
      <c r="F327" s="189"/>
      <c r="G327" s="186"/>
      <c r="H327" s="187"/>
      <c r="I327" s="186"/>
      <c r="J327" s="187"/>
      <c r="K327" s="51"/>
      <c r="L327" s="190"/>
      <c r="M327" s="191"/>
      <c r="N327" s="192"/>
      <c r="O327" s="188"/>
      <c r="P327" s="189"/>
      <c r="Q327" s="186"/>
      <c r="R327" s="187"/>
    </row>
    <row r="328" spans="2:18">
      <c r="B328" s="185"/>
      <c r="C328" s="186"/>
      <c r="D328" s="187"/>
      <c r="E328" s="188"/>
      <c r="F328" s="189"/>
      <c r="G328" s="186"/>
      <c r="H328" s="187"/>
      <c r="I328" s="186"/>
      <c r="J328" s="187"/>
      <c r="K328" s="51"/>
      <c r="L328" s="190"/>
      <c r="M328" s="191"/>
      <c r="N328" s="192"/>
      <c r="O328" s="188"/>
      <c r="P328" s="189"/>
      <c r="Q328" s="186"/>
      <c r="R328" s="187"/>
    </row>
    <row r="329" spans="2:18">
      <c r="B329" s="185"/>
      <c r="C329" s="186"/>
      <c r="D329" s="187"/>
      <c r="E329" s="188"/>
      <c r="F329" s="189"/>
      <c r="G329" s="186"/>
      <c r="H329" s="187"/>
      <c r="I329" s="186"/>
      <c r="J329" s="187"/>
      <c r="K329" s="51"/>
      <c r="L329" s="190"/>
      <c r="M329" s="191"/>
      <c r="N329" s="192"/>
      <c r="O329" s="188"/>
      <c r="P329" s="189"/>
      <c r="Q329" s="186"/>
      <c r="R329" s="187"/>
    </row>
    <row r="330" spans="2:18">
      <c r="B330" s="185"/>
      <c r="C330" s="186"/>
      <c r="D330" s="187"/>
      <c r="E330" s="188"/>
      <c r="F330" s="189"/>
      <c r="G330" s="186"/>
      <c r="H330" s="187"/>
      <c r="I330" s="186"/>
      <c r="J330" s="187"/>
      <c r="K330" s="51"/>
      <c r="L330" s="190"/>
      <c r="M330" s="191"/>
      <c r="N330" s="192"/>
      <c r="O330" s="188"/>
      <c r="P330" s="189"/>
      <c r="Q330" s="186"/>
      <c r="R330" s="187"/>
    </row>
    <row r="331" spans="2:18">
      <c r="B331" s="185"/>
      <c r="C331" s="186"/>
      <c r="D331" s="187"/>
      <c r="E331" s="188"/>
      <c r="F331" s="189"/>
      <c r="G331" s="186"/>
      <c r="H331" s="187"/>
      <c r="I331" s="186"/>
      <c r="J331" s="187"/>
      <c r="K331" s="51"/>
      <c r="L331" s="190"/>
      <c r="M331" s="191"/>
      <c r="N331" s="192"/>
      <c r="O331" s="188"/>
      <c r="P331" s="189"/>
      <c r="Q331" s="186"/>
      <c r="R331" s="187"/>
    </row>
    <row r="332" spans="2:18">
      <c r="B332" s="185"/>
      <c r="C332" s="186"/>
      <c r="D332" s="187"/>
      <c r="E332" s="188"/>
      <c r="F332" s="189"/>
      <c r="G332" s="186"/>
      <c r="H332" s="187"/>
      <c r="I332" s="186"/>
      <c r="J332" s="187"/>
      <c r="K332" s="51"/>
      <c r="L332" s="190"/>
      <c r="M332" s="191"/>
      <c r="N332" s="192"/>
      <c r="O332" s="188"/>
      <c r="P332" s="189"/>
      <c r="Q332" s="186"/>
      <c r="R332" s="187"/>
    </row>
    <row r="333" spans="2:18">
      <c r="B333" s="185"/>
      <c r="C333" s="186"/>
      <c r="D333" s="187"/>
      <c r="E333" s="188"/>
      <c r="F333" s="189"/>
      <c r="G333" s="186"/>
      <c r="H333" s="187"/>
      <c r="I333" s="186"/>
      <c r="J333" s="187"/>
      <c r="K333" s="51"/>
      <c r="L333" s="190"/>
      <c r="M333" s="191"/>
      <c r="N333" s="192"/>
      <c r="O333" s="188"/>
      <c r="P333" s="189"/>
      <c r="Q333" s="186"/>
      <c r="R333" s="187"/>
    </row>
    <row r="334" spans="2:18">
      <c r="B334" s="185"/>
      <c r="C334" s="186"/>
      <c r="D334" s="187"/>
      <c r="E334" s="188"/>
      <c r="F334" s="189"/>
      <c r="G334" s="186"/>
      <c r="H334" s="187"/>
      <c r="I334" s="186"/>
      <c r="J334" s="187"/>
      <c r="K334" s="51"/>
      <c r="L334" s="190"/>
      <c r="M334" s="191"/>
      <c r="N334" s="192"/>
      <c r="O334" s="188"/>
      <c r="P334" s="189"/>
      <c r="Q334" s="186"/>
      <c r="R334" s="187"/>
    </row>
    <row r="335" spans="2:18">
      <c r="B335" s="185"/>
      <c r="C335" s="186"/>
      <c r="D335" s="187"/>
      <c r="E335" s="188"/>
      <c r="F335" s="189"/>
      <c r="G335" s="186"/>
      <c r="H335" s="187"/>
      <c r="I335" s="186"/>
      <c r="J335" s="187"/>
      <c r="K335" s="51"/>
      <c r="L335" s="190"/>
      <c r="M335" s="191"/>
      <c r="N335" s="192"/>
      <c r="O335" s="188"/>
      <c r="P335" s="189"/>
      <c r="Q335" s="186"/>
      <c r="R335" s="187"/>
    </row>
    <row r="336" spans="2:18">
      <c r="B336" s="185"/>
      <c r="C336" s="186"/>
      <c r="D336" s="187"/>
      <c r="E336" s="188"/>
      <c r="F336" s="189"/>
      <c r="G336" s="186"/>
      <c r="H336" s="187"/>
      <c r="I336" s="186"/>
      <c r="J336" s="187"/>
      <c r="K336" s="51"/>
      <c r="L336" s="190"/>
      <c r="M336" s="191"/>
      <c r="N336" s="192"/>
      <c r="O336" s="188"/>
      <c r="P336" s="189"/>
      <c r="Q336" s="186"/>
      <c r="R336" s="187"/>
    </row>
    <row r="337" spans="2:18">
      <c r="B337" s="185"/>
      <c r="C337" s="186"/>
      <c r="D337" s="187"/>
      <c r="E337" s="188"/>
      <c r="F337" s="189"/>
      <c r="G337" s="186"/>
      <c r="H337" s="187"/>
      <c r="I337" s="186"/>
      <c r="J337" s="187"/>
      <c r="K337" s="51"/>
      <c r="L337" s="190"/>
      <c r="M337" s="191"/>
      <c r="N337" s="192"/>
      <c r="O337" s="188"/>
      <c r="P337" s="189"/>
      <c r="Q337" s="186"/>
      <c r="R337" s="187"/>
    </row>
    <row r="338" spans="2:18">
      <c r="B338" s="185"/>
      <c r="C338" s="186"/>
      <c r="D338" s="187"/>
      <c r="E338" s="188"/>
      <c r="F338" s="189"/>
      <c r="G338" s="186"/>
      <c r="H338" s="187"/>
      <c r="I338" s="186"/>
      <c r="J338" s="187"/>
      <c r="K338" s="51"/>
      <c r="L338" s="190"/>
      <c r="M338" s="191"/>
      <c r="N338" s="192"/>
      <c r="O338" s="188"/>
      <c r="P338" s="189"/>
      <c r="Q338" s="186"/>
      <c r="R338" s="187"/>
    </row>
    <row r="339" spans="2:18">
      <c r="B339" s="185"/>
      <c r="C339" s="186"/>
      <c r="D339" s="187"/>
      <c r="E339" s="188"/>
      <c r="F339" s="189"/>
      <c r="G339" s="186"/>
      <c r="H339" s="187"/>
      <c r="I339" s="186"/>
      <c r="J339" s="187"/>
      <c r="K339" s="51"/>
      <c r="L339" s="190"/>
      <c r="M339" s="191"/>
      <c r="N339" s="192"/>
      <c r="O339" s="188"/>
      <c r="P339" s="189"/>
      <c r="Q339" s="186"/>
      <c r="R339" s="187"/>
    </row>
    <row r="340" spans="2:18">
      <c r="B340" s="185"/>
      <c r="C340" s="186"/>
      <c r="D340" s="187"/>
      <c r="E340" s="188"/>
      <c r="F340" s="189"/>
      <c r="G340" s="186"/>
      <c r="H340" s="187"/>
      <c r="I340" s="186"/>
      <c r="J340" s="187"/>
      <c r="K340" s="51"/>
      <c r="L340" s="190"/>
      <c r="M340" s="191"/>
      <c r="N340" s="192"/>
      <c r="O340" s="188"/>
      <c r="P340" s="189"/>
      <c r="Q340" s="186"/>
      <c r="R340" s="187"/>
    </row>
    <row r="341" spans="2:18">
      <c r="B341" s="185"/>
      <c r="C341" s="186"/>
      <c r="D341" s="187"/>
      <c r="E341" s="188"/>
      <c r="F341" s="189"/>
      <c r="G341" s="186"/>
      <c r="H341" s="187"/>
      <c r="I341" s="186"/>
      <c r="J341" s="187"/>
      <c r="K341" s="51"/>
      <c r="L341" s="190"/>
      <c r="M341" s="191"/>
      <c r="N341" s="192"/>
      <c r="O341" s="188"/>
      <c r="P341" s="189"/>
      <c r="Q341" s="186"/>
      <c r="R341" s="187"/>
    </row>
    <row r="342" spans="2:18">
      <c r="B342" s="185"/>
      <c r="C342" s="186"/>
      <c r="D342" s="187"/>
      <c r="E342" s="188"/>
      <c r="F342" s="189"/>
      <c r="G342" s="186"/>
      <c r="H342" s="187"/>
      <c r="I342" s="186"/>
      <c r="J342" s="187"/>
      <c r="K342" s="51"/>
      <c r="L342" s="190"/>
      <c r="M342" s="191"/>
      <c r="N342" s="192"/>
      <c r="O342" s="188"/>
      <c r="P342" s="189"/>
      <c r="Q342" s="186"/>
      <c r="R342" s="187"/>
    </row>
    <row r="343" spans="2:18">
      <c r="B343" s="185"/>
      <c r="C343" s="186"/>
      <c r="D343" s="187"/>
      <c r="E343" s="188"/>
      <c r="F343" s="189"/>
      <c r="G343" s="186"/>
      <c r="H343" s="187"/>
      <c r="I343" s="186"/>
      <c r="J343" s="187"/>
      <c r="K343" s="51"/>
      <c r="L343" s="190"/>
      <c r="M343" s="191"/>
      <c r="N343" s="192"/>
      <c r="O343" s="188"/>
      <c r="P343" s="189"/>
      <c r="Q343" s="186"/>
      <c r="R343" s="187"/>
    </row>
    <row r="344" spans="2:18">
      <c r="B344" s="185"/>
      <c r="C344" s="186"/>
      <c r="D344" s="187"/>
      <c r="E344" s="188"/>
      <c r="F344" s="189"/>
      <c r="G344" s="186"/>
      <c r="H344" s="187"/>
      <c r="I344" s="186"/>
      <c r="J344" s="187"/>
      <c r="K344" s="51"/>
      <c r="L344" s="190"/>
      <c r="M344" s="191"/>
      <c r="N344" s="192"/>
      <c r="O344" s="188"/>
      <c r="P344" s="189"/>
      <c r="Q344" s="186"/>
      <c r="R344" s="187"/>
    </row>
    <row r="345" spans="2:18">
      <c r="B345" s="185"/>
      <c r="C345" s="186"/>
      <c r="D345" s="187"/>
      <c r="E345" s="188"/>
      <c r="F345" s="189"/>
      <c r="G345" s="186"/>
      <c r="H345" s="187"/>
      <c r="I345" s="186"/>
      <c r="J345" s="187"/>
      <c r="K345" s="51"/>
      <c r="L345" s="190"/>
      <c r="M345" s="191"/>
      <c r="N345" s="192"/>
      <c r="O345" s="188"/>
      <c r="P345" s="189"/>
      <c r="Q345" s="186"/>
      <c r="R345" s="187"/>
    </row>
    <row r="346" spans="2:18">
      <c r="B346" s="185"/>
      <c r="C346" s="186"/>
      <c r="D346" s="187"/>
      <c r="E346" s="188"/>
      <c r="F346" s="189"/>
      <c r="G346" s="186"/>
      <c r="H346" s="187"/>
      <c r="I346" s="186"/>
      <c r="J346" s="187"/>
      <c r="K346" s="51"/>
      <c r="L346" s="190"/>
      <c r="M346" s="191"/>
      <c r="N346" s="192"/>
      <c r="O346" s="188"/>
      <c r="P346" s="189"/>
      <c r="Q346" s="186"/>
      <c r="R346" s="187"/>
    </row>
    <row r="347" spans="2:18">
      <c r="B347" s="185"/>
      <c r="C347" s="186"/>
      <c r="D347" s="187"/>
      <c r="E347" s="188"/>
      <c r="F347" s="189"/>
      <c r="G347" s="186"/>
      <c r="H347" s="187"/>
      <c r="I347" s="186"/>
      <c r="J347" s="187"/>
      <c r="K347" s="51"/>
      <c r="L347" s="190"/>
      <c r="M347" s="191"/>
      <c r="N347" s="192"/>
      <c r="O347" s="188"/>
      <c r="P347" s="189"/>
      <c r="Q347" s="186"/>
      <c r="R347" s="187"/>
    </row>
    <row r="348" spans="2:18">
      <c r="B348" s="185"/>
      <c r="C348" s="186"/>
      <c r="D348" s="187"/>
      <c r="E348" s="188"/>
      <c r="F348" s="189"/>
      <c r="G348" s="186"/>
      <c r="H348" s="187"/>
      <c r="I348" s="186"/>
      <c r="J348" s="187"/>
      <c r="K348" s="51"/>
      <c r="L348" s="190"/>
      <c r="M348" s="191"/>
      <c r="N348" s="192"/>
      <c r="O348" s="188"/>
      <c r="P348" s="189"/>
      <c r="Q348" s="186"/>
      <c r="R348" s="187"/>
    </row>
    <row r="349" spans="2:18">
      <c r="B349" s="185"/>
      <c r="C349" s="186"/>
      <c r="D349" s="187"/>
      <c r="E349" s="188"/>
      <c r="F349" s="189"/>
      <c r="G349" s="186"/>
      <c r="H349" s="187"/>
      <c r="I349" s="186"/>
      <c r="J349" s="187"/>
      <c r="K349" s="51"/>
      <c r="L349" s="190"/>
      <c r="M349" s="191"/>
      <c r="N349" s="192"/>
      <c r="O349" s="188"/>
      <c r="P349" s="189"/>
      <c r="Q349" s="186"/>
      <c r="R349" s="187"/>
    </row>
    <row r="350" spans="2:18">
      <c r="B350" s="185"/>
      <c r="C350" s="186"/>
      <c r="D350" s="187"/>
      <c r="E350" s="188"/>
      <c r="F350" s="189"/>
      <c r="G350" s="186"/>
      <c r="H350" s="187"/>
      <c r="I350" s="186"/>
      <c r="J350" s="187"/>
      <c r="K350" s="51"/>
      <c r="L350" s="190"/>
      <c r="M350" s="191"/>
      <c r="N350" s="192"/>
      <c r="O350" s="188"/>
      <c r="P350" s="189"/>
      <c r="Q350" s="186"/>
      <c r="R350" s="187"/>
    </row>
    <row r="351" spans="2:18">
      <c r="B351" s="185"/>
      <c r="C351" s="186"/>
      <c r="D351" s="187"/>
      <c r="E351" s="188"/>
      <c r="F351" s="189"/>
      <c r="G351" s="186"/>
      <c r="H351" s="187"/>
      <c r="I351" s="186"/>
      <c r="J351" s="187"/>
      <c r="K351" s="51"/>
      <c r="L351" s="190"/>
      <c r="M351" s="191"/>
      <c r="N351" s="192"/>
      <c r="O351" s="188"/>
      <c r="P351" s="189"/>
      <c r="Q351" s="186"/>
      <c r="R351" s="187"/>
    </row>
    <row r="352" spans="2:18">
      <c r="B352" s="185"/>
      <c r="C352" s="186"/>
      <c r="D352" s="187"/>
      <c r="E352" s="188"/>
      <c r="F352" s="189"/>
      <c r="G352" s="186"/>
      <c r="H352" s="187"/>
      <c r="I352" s="186"/>
      <c r="J352" s="187"/>
      <c r="K352" s="51"/>
      <c r="L352" s="190"/>
      <c r="M352" s="191"/>
      <c r="N352" s="192"/>
      <c r="O352" s="188"/>
      <c r="P352" s="189"/>
      <c r="Q352" s="186"/>
      <c r="R352" s="187"/>
    </row>
    <row r="353" spans="2:18">
      <c r="B353" s="185"/>
      <c r="C353" s="186"/>
      <c r="D353" s="187"/>
      <c r="E353" s="188"/>
      <c r="F353" s="189"/>
      <c r="G353" s="186"/>
      <c r="H353" s="187"/>
      <c r="I353" s="186"/>
      <c r="J353" s="187"/>
      <c r="K353" s="51"/>
      <c r="L353" s="190"/>
      <c r="M353" s="191"/>
      <c r="N353" s="192"/>
      <c r="O353" s="188"/>
      <c r="P353" s="189"/>
      <c r="Q353" s="186"/>
      <c r="R353" s="187"/>
    </row>
    <row r="354" spans="2:18">
      <c r="B354" s="185"/>
      <c r="C354" s="186"/>
      <c r="D354" s="187"/>
      <c r="E354" s="188"/>
      <c r="F354" s="189"/>
      <c r="G354" s="186"/>
      <c r="H354" s="187"/>
      <c r="I354" s="186"/>
      <c r="J354" s="187"/>
      <c r="K354" s="51"/>
      <c r="L354" s="190"/>
      <c r="M354" s="191"/>
      <c r="N354" s="192"/>
      <c r="O354" s="188"/>
      <c r="P354" s="189"/>
      <c r="Q354" s="186"/>
      <c r="R354" s="187"/>
    </row>
    <row r="355" spans="2:18">
      <c r="B355" s="185"/>
      <c r="C355" s="186"/>
      <c r="D355" s="187"/>
      <c r="E355" s="188"/>
      <c r="F355" s="189"/>
      <c r="G355" s="186"/>
      <c r="H355" s="187"/>
      <c r="I355" s="186"/>
      <c r="J355" s="187"/>
      <c r="K355" s="51"/>
      <c r="L355" s="190"/>
      <c r="M355" s="191"/>
      <c r="N355" s="192"/>
      <c r="O355" s="188"/>
      <c r="P355" s="189"/>
      <c r="Q355" s="186"/>
      <c r="R355" s="187"/>
    </row>
    <row r="356" spans="2:18">
      <c r="B356" s="185"/>
      <c r="C356" s="186"/>
      <c r="D356" s="187"/>
      <c r="E356" s="188"/>
      <c r="F356" s="189"/>
      <c r="G356" s="186"/>
      <c r="H356" s="187"/>
      <c r="I356" s="186"/>
      <c r="J356" s="187"/>
      <c r="K356" s="51"/>
      <c r="L356" s="190"/>
      <c r="M356" s="191"/>
      <c r="N356" s="192"/>
      <c r="O356" s="188"/>
      <c r="P356" s="189"/>
      <c r="Q356" s="186"/>
      <c r="R356" s="187"/>
    </row>
    <row r="357" spans="2:18">
      <c r="B357" s="185"/>
      <c r="C357" s="186"/>
      <c r="D357" s="187"/>
      <c r="E357" s="188"/>
      <c r="F357" s="189"/>
      <c r="G357" s="186"/>
      <c r="H357" s="187"/>
      <c r="I357" s="186"/>
      <c r="J357" s="187"/>
      <c r="K357" s="51"/>
      <c r="L357" s="190"/>
      <c r="M357" s="191"/>
      <c r="N357" s="192"/>
      <c r="O357" s="188"/>
      <c r="P357" s="189"/>
      <c r="Q357" s="186"/>
      <c r="R357" s="187"/>
    </row>
    <row r="358" spans="2:18">
      <c r="B358" s="185"/>
      <c r="C358" s="186"/>
      <c r="D358" s="187"/>
      <c r="E358" s="188"/>
      <c r="F358" s="189"/>
      <c r="G358" s="186"/>
      <c r="H358" s="187"/>
      <c r="I358" s="186"/>
      <c r="J358" s="187"/>
      <c r="K358" s="51"/>
      <c r="L358" s="190"/>
      <c r="M358" s="191"/>
      <c r="N358" s="192"/>
      <c r="O358" s="188"/>
      <c r="P358" s="189"/>
      <c r="Q358" s="186"/>
      <c r="R358" s="187"/>
    </row>
    <row r="359" spans="2:18">
      <c r="B359" s="185"/>
      <c r="C359" s="186"/>
      <c r="D359" s="187"/>
      <c r="E359" s="188"/>
      <c r="F359" s="189"/>
      <c r="G359" s="186"/>
      <c r="H359" s="187"/>
      <c r="I359" s="186"/>
      <c r="J359" s="187"/>
      <c r="K359" s="51"/>
      <c r="L359" s="190"/>
      <c r="M359" s="191"/>
      <c r="N359" s="192"/>
      <c r="O359" s="188"/>
      <c r="P359" s="189"/>
      <c r="Q359" s="186"/>
      <c r="R359" s="187"/>
    </row>
    <row r="360" spans="2:18">
      <c r="B360" s="185"/>
      <c r="C360" s="186"/>
      <c r="D360" s="187"/>
      <c r="E360" s="188"/>
      <c r="F360" s="189"/>
      <c r="G360" s="186"/>
      <c r="H360" s="187"/>
      <c r="I360" s="186"/>
      <c r="J360" s="187"/>
      <c r="K360" s="51"/>
      <c r="L360" s="190"/>
      <c r="M360" s="191"/>
      <c r="N360" s="192"/>
      <c r="O360" s="188"/>
      <c r="P360" s="189"/>
      <c r="Q360" s="186"/>
      <c r="R360" s="187"/>
    </row>
    <row r="361" spans="2:18">
      <c r="B361" s="185"/>
      <c r="C361" s="186"/>
      <c r="D361" s="187"/>
      <c r="E361" s="188"/>
      <c r="F361" s="189"/>
      <c r="G361" s="186"/>
      <c r="H361" s="187"/>
      <c r="I361" s="186"/>
      <c r="J361" s="187"/>
      <c r="K361" s="51"/>
      <c r="L361" s="190"/>
      <c r="M361" s="191"/>
      <c r="N361" s="192"/>
      <c r="O361" s="188"/>
      <c r="P361" s="189"/>
      <c r="Q361" s="186"/>
      <c r="R361" s="187"/>
    </row>
    <row r="362" spans="2:18">
      <c r="B362" s="185"/>
      <c r="C362" s="186"/>
      <c r="D362" s="187"/>
      <c r="E362" s="188"/>
      <c r="F362" s="189"/>
      <c r="G362" s="186"/>
      <c r="H362" s="187"/>
      <c r="I362" s="186"/>
      <c r="J362" s="187"/>
      <c r="K362" s="51"/>
      <c r="L362" s="190"/>
      <c r="M362" s="191"/>
      <c r="N362" s="192"/>
      <c r="O362" s="188"/>
      <c r="P362" s="189"/>
      <c r="Q362" s="186"/>
      <c r="R362" s="187"/>
    </row>
    <row r="363" spans="2:18">
      <c r="B363" s="185"/>
      <c r="C363" s="186"/>
      <c r="D363" s="187"/>
      <c r="E363" s="188"/>
      <c r="F363" s="189"/>
      <c r="G363" s="186"/>
      <c r="H363" s="187"/>
      <c r="I363" s="186"/>
      <c r="J363" s="187"/>
      <c r="K363" s="51"/>
      <c r="L363" s="190"/>
      <c r="M363" s="191"/>
      <c r="N363" s="192"/>
      <c r="O363" s="188"/>
      <c r="P363" s="189"/>
      <c r="Q363" s="186"/>
      <c r="R363" s="187"/>
    </row>
    <row r="364" spans="2:18">
      <c r="B364" s="185"/>
      <c r="C364" s="186"/>
      <c r="D364" s="187"/>
      <c r="E364" s="188"/>
      <c r="F364" s="189"/>
      <c r="G364" s="186"/>
      <c r="H364" s="187"/>
      <c r="I364" s="186"/>
      <c r="J364" s="187"/>
      <c r="K364" s="51"/>
      <c r="L364" s="190"/>
      <c r="M364" s="191"/>
      <c r="N364" s="192"/>
      <c r="O364" s="188"/>
      <c r="P364" s="189"/>
      <c r="Q364" s="186"/>
      <c r="R364" s="187"/>
    </row>
    <row r="365" spans="2:18">
      <c r="B365" s="185"/>
      <c r="C365" s="186"/>
      <c r="D365" s="187"/>
      <c r="E365" s="188"/>
      <c r="F365" s="189"/>
      <c r="G365" s="186"/>
      <c r="H365" s="187"/>
      <c r="I365" s="186"/>
      <c r="J365" s="187"/>
      <c r="K365" s="51"/>
      <c r="L365" s="190"/>
      <c r="M365" s="191"/>
      <c r="N365" s="192"/>
      <c r="O365" s="188"/>
      <c r="P365" s="189"/>
      <c r="Q365" s="186"/>
      <c r="R365" s="187"/>
    </row>
    <row r="366" spans="2:18">
      <c r="B366" s="185"/>
      <c r="C366" s="186"/>
      <c r="D366" s="187"/>
      <c r="E366" s="188"/>
      <c r="F366" s="189"/>
      <c r="G366" s="186"/>
      <c r="H366" s="187"/>
      <c r="I366" s="186"/>
      <c r="J366" s="187"/>
      <c r="K366" s="51"/>
      <c r="L366" s="190"/>
      <c r="M366" s="191"/>
      <c r="N366" s="192"/>
      <c r="O366" s="188"/>
      <c r="P366" s="189"/>
      <c r="Q366" s="186"/>
      <c r="R366" s="187"/>
    </row>
    <row r="367" spans="2:18">
      <c r="B367" s="185"/>
      <c r="C367" s="186"/>
      <c r="D367" s="187"/>
      <c r="E367" s="188"/>
      <c r="F367" s="189"/>
      <c r="G367" s="186"/>
      <c r="H367" s="187"/>
      <c r="I367" s="186"/>
      <c r="J367" s="187"/>
      <c r="K367" s="51"/>
      <c r="L367" s="190"/>
      <c r="M367" s="191"/>
      <c r="N367" s="192"/>
      <c r="O367" s="188"/>
      <c r="P367" s="189"/>
      <c r="Q367" s="186"/>
      <c r="R367" s="187"/>
    </row>
    <row r="368" spans="2:18">
      <c r="B368" s="185"/>
      <c r="C368" s="186"/>
      <c r="D368" s="187"/>
      <c r="E368" s="188"/>
      <c r="F368" s="189"/>
      <c r="G368" s="186"/>
      <c r="H368" s="187"/>
      <c r="I368" s="186"/>
      <c r="J368" s="187"/>
      <c r="K368" s="51"/>
      <c r="L368" s="190"/>
      <c r="M368" s="191"/>
      <c r="N368" s="192"/>
      <c r="O368" s="188"/>
      <c r="P368" s="189"/>
      <c r="Q368" s="186"/>
      <c r="R368" s="187"/>
    </row>
    <row r="369" spans="2:18">
      <c r="B369" s="185"/>
      <c r="C369" s="186"/>
      <c r="D369" s="187"/>
      <c r="E369" s="188"/>
      <c r="F369" s="189"/>
      <c r="G369" s="186"/>
      <c r="H369" s="187"/>
      <c r="I369" s="186"/>
      <c r="J369" s="187"/>
      <c r="K369" s="51"/>
      <c r="L369" s="190"/>
      <c r="M369" s="191"/>
      <c r="N369" s="192"/>
      <c r="O369" s="188"/>
      <c r="P369" s="189"/>
      <c r="Q369" s="186"/>
      <c r="R369" s="187"/>
    </row>
    <row r="370" spans="2:18">
      <c r="B370" s="185"/>
      <c r="C370" s="186"/>
      <c r="D370" s="187"/>
      <c r="E370" s="188"/>
      <c r="F370" s="189"/>
      <c r="G370" s="186"/>
      <c r="H370" s="187"/>
      <c r="I370" s="186"/>
      <c r="J370" s="187"/>
      <c r="K370" s="51"/>
      <c r="L370" s="190"/>
      <c r="M370" s="191"/>
      <c r="N370" s="192"/>
      <c r="O370" s="188"/>
      <c r="P370" s="189"/>
      <c r="Q370" s="186"/>
      <c r="R370" s="187"/>
    </row>
    <row r="371" spans="2:18">
      <c r="B371" s="185"/>
      <c r="C371" s="186"/>
      <c r="D371" s="187"/>
      <c r="E371" s="188"/>
      <c r="F371" s="189"/>
      <c r="G371" s="186"/>
      <c r="H371" s="187"/>
      <c r="I371" s="186"/>
      <c r="J371" s="187"/>
      <c r="K371" s="51"/>
      <c r="L371" s="190"/>
      <c r="M371" s="191"/>
      <c r="N371" s="192"/>
      <c r="O371" s="188"/>
      <c r="P371" s="189"/>
      <c r="Q371" s="186"/>
      <c r="R371" s="187"/>
    </row>
    <row r="372" spans="2:18">
      <c r="B372" s="185"/>
      <c r="C372" s="186"/>
      <c r="D372" s="187"/>
      <c r="E372" s="188"/>
      <c r="F372" s="189"/>
      <c r="G372" s="186"/>
      <c r="H372" s="187"/>
      <c r="I372" s="186"/>
      <c r="J372" s="187"/>
      <c r="K372" s="51"/>
      <c r="L372" s="190"/>
      <c r="M372" s="191"/>
      <c r="N372" s="192"/>
      <c r="O372" s="188"/>
      <c r="P372" s="189"/>
      <c r="Q372" s="186"/>
      <c r="R372" s="187"/>
    </row>
    <row r="373" spans="2:18">
      <c r="B373" s="185"/>
      <c r="C373" s="186"/>
      <c r="D373" s="187"/>
      <c r="E373" s="188"/>
      <c r="F373" s="189"/>
      <c r="G373" s="186"/>
      <c r="H373" s="187"/>
      <c r="I373" s="186"/>
      <c r="J373" s="187"/>
      <c r="K373" s="51"/>
      <c r="L373" s="190"/>
      <c r="M373" s="191"/>
      <c r="N373" s="192"/>
      <c r="O373" s="188"/>
      <c r="P373" s="189"/>
      <c r="Q373" s="186"/>
      <c r="R373" s="187"/>
    </row>
    <row r="374" spans="2:18">
      <c r="B374" s="185"/>
      <c r="C374" s="186"/>
      <c r="D374" s="187"/>
      <c r="E374" s="188"/>
      <c r="F374" s="189"/>
      <c r="G374" s="186"/>
      <c r="H374" s="187"/>
      <c r="I374" s="186"/>
      <c r="J374" s="187"/>
      <c r="K374" s="51"/>
      <c r="L374" s="190"/>
      <c r="M374" s="191"/>
      <c r="N374" s="192"/>
      <c r="O374" s="188"/>
      <c r="P374" s="189"/>
      <c r="Q374" s="186"/>
      <c r="R374" s="187"/>
    </row>
    <row r="375" spans="2:18">
      <c r="B375" s="185"/>
      <c r="C375" s="186"/>
      <c r="D375" s="187"/>
      <c r="E375" s="188"/>
      <c r="F375" s="189"/>
      <c r="G375" s="186"/>
      <c r="H375" s="187"/>
      <c r="I375" s="186"/>
      <c r="J375" s="187"/>
      <c r="K375" s="51"/>
      <c r="L375" s="190"/>
      <c r="M375" s="191"/>
      <c r="N375" s="192"/>
      <c r="O375" s="188"/>
      <c r="P375" s="189"/>
      <c r="Q375" s="186"/>
      <c r="R375" s="187"/>
    </row>
    <row r="376" spans="2:18">
      <c r="B376" s="185"/>
      <c r="C376" s="186"/>
      <c r="D376" s="187"/>
      <c r="E376" s="188"/>
      <c r="F376" s="189"/>
      <c r="G376" s="186"/>
      <c r="H376" s="187"/>
      <c r="I376" s="186"/>
      <c r="J376" s="187"/>
      <c r="K376" s="51"/>
      <c r="L376" s="190"/>
      <c r="M376" s="191"/>
      <c r="N376" s="192"/>
      <c r="O376" s="188"/>
      <c r="P376" s="189"/>
      <c r="Q376" s="186"/>
      <c r="R376" s="187"/>
    </row>
    <row r="377" spans="2:18">
      <c r="B377" s="185"/>
      <c r="C377" s="186"/>
      <c r="D377" s="187"/>
      <c r="E377" s="188"/>
      <c r="F377" s="189"/>
      <c r="G377" s="186"/>
      <c r="H377" s="187"/>
      <c r="I377" s="186"/>
      <c r="J377" s="187"/>
      <c r="K377" s="51"/>
      <c r="L377" s="190"/>
      <c r="M377" s="191"/>
      <c r="N377" s="192"/>
      <c r="O377" s="188"/>
      <c r="P377" s="189"/>
      <c r="Q377" s="186"/>
      <c r="R377" s="187"/>
    </row>
    <row r="378" spans="2:18">
      <c r="B378" s="185"/>
      <c r="C378" s="186"/>
      <c r="D378" s="187"/>
      <c r="E378" s="188"/>
      <c r="F378" s="189"/>
      <c r="G378" s="186"/>
      <c r="H378" s="187"/>
      <c r="I378" s="186"/>
      <c r="J378" s="187"/>
      <c r="K378" s="51"/>
      <c r="L378" s="190"/>
      <c r="M378" s="191"/>
      <c r="N378" s="192"/>
      <c r="O378" s="188"/>
      <c r="P378" s="189"/>
      <c r="Q378" s="186"/>
      <c r="R378" s="187"/>
    </row>
    <row r="379" spans="2:18">
      <c r="B379" s="185"/>
      <c r="C379" s="186"/>
      <c r="D379" s="187"/>
      <c r="E379" s="188"/>
      <c r="F379" s="189"/>
      <c r="G379" s="186"/>
      <c r="H379" s="187"/>
      <c r="I379" s="186"/>
      <c r="J379" s="187"/>
      <c r="K379" s="51"/>
      <c r="L379" s="190"/>
      <c r="M379" s="191"/>
      <c r="N379" s="192"/>
      <c r="O379" s="188"/>
      <c r="P379" s="189"/>
      <c r="Q379" s="186"/>
      <c r="R379" s="187"/>
    </row>
    <row r="380" spans="2:18">
      <c r="B380" s="185"/>
      <c r="C380" s="186"/>
      <c r="D380" s="187"/>
      <c r="E380" s="188"/>
      <c r="F380" s="189"/>
      <c r="G380" s="186"/>
      <c r="H380" s="187"/>
      <c r="I380" s="186"/>
      <c r="J380" s="187"/>
      <c r="K380" s="51"/>
      <c r="L380" s="190"/>
      <c r="M380" s="191"/>
      <c r="N380" s="192"/>
      <c r="O380" s="188"/>
      <c r="P380" s="189"/>
      <c r="Q380" s="186"/>
      <c r="R380" s="187"/>
    </row>
    <row r="381" spans="2:18">
      <c r="B381" s="185"/>
      <c r="C381" s="186"/>
      <c r="D381" s="187"/>
      <c r="E381" s="188"/>
      <c r="F381" s="189"/>
      <c r="G381" s="186"/>
      <c r="H381" s="187"/>
      <c r="I381" s="186"/>
      <c r="J381" s="187"/>
      <c r="K381" s="51"/>
      <c r="L381" s="190"/>
      <c r="M381" s="191"/>
      <c r="N381" s="192"/>
      <c r="O381" s="188"/>
      <c r="P381" s="189"/>
      <c r="Q381" s="186"/>
      <c r="R381" s="187"/>
    </row>
    <row r="382" spans="2:18">
      <c r="B382" s="185"/>
      <c r="C382" s="186"/>
      <c r="D382" s="187"/>
      <c r="E382" s="188"/>
      <c r="F382" s="189"/>
      <c r="G382" s="186"/>
      <c r="H382" s="187"/>
      <c r="I382" s="186"/>
      <c r="J382" s="187"/>
      <c r="K382" s="51"/>
      <c r="L382" s="190"/>
      <c r="M382" s="191"/>
      <c r="N382" s="192"/>
      <c r="O382" s="188"/>
      <c r="P382" s="189"/>
      <c r="Q382" s="186"/>
      <c r="R382" s="187"/>
    </row>
    <row r="383" spans="2:18">
      <c r="B383" s="185"/>
      <c r="C383" s="186"/>
      <c r="D383" s="187"/>
      <c r="E383" s="188"/>
      <c r="F383" s="189"/>
      <c r="G383" s="186"/>
      <c r="H383" s="187"/>
      <c r="I383" s="186"/>
      <c r="J383" s="187"/>
      <c r="K383" s="51"/>
      <c r="L383" s="190"/>
      <c r="M383" s="191"/>
      <c r="N383" s="192"/>
      <c r="O383" s="188"/>
      <c r="P383" s="189"/>
      <c r="Q383" s="186"/>
      <c r="R383" s="187"/>
    </row>
    <row r="384" spans="2:18">
      <c r="B384" s="185"/>
      <c r="C384" s="186"/>
      <c r="D384" s="187"/>
      <c r="E384" s="188"/>
      <c r="F384" s="189"/>
      <c r="G384" s="186"/>
      <c r="H384" s="187"/>
      <c r="I384" s="186"/>
      <c r="J384" s="187"/>
      <c r="K384" s="51"/>
      <c r="L384" s="190"/>
      <c r="M384" s="191"/>
      <c r="N384" s="192"/>
      <c r="O384" s="188"/>
      <c r="P384" s="189"/>
      <c r="Q384" s="186"/>
      <c r="R384" s="187"/>
    </row>
    <row r="385" spans="2:18">
      <c r="B385" s="185"/>
      <c r="C385" s="186"/>
      <c r="D385" s="187"/>
      <c r="E385" s="188"/>
      <c r="F385" s="189"/>
      <c r="G385" s="186"/>
      <c r="H385" s="187"/>
      <c r="I385" s="186"/>
      <c r="J385" s="187"/>
      <c r="K385" s="51"/>
      <c r="L385" s="190"/>
      <c r="M385" s="191"/>
      <c r="N385" s="192"/>
      <c r="O385" s="188"/>
      <c r="P385" s="189"/>
      <c r="Q385" s="186"/>
      <c r="R385" s="187"/>
    </row>
    <row r="386" spans="2:18">
      <c r="B386" s="185"/>
      <c r="C386" s="186"/>
      <c r="D386" s="187"/>
      <c r="E386" s="188"/>
      <c r="F386" s="189"/>
      <c r="G386" s="186"/>
      <c r="H386" s="187"/>
      <c r="I386" s="186"/>
      <c r="J386" s="187"/>
      <c r="K386" s="51"/>
      <c r="L386" s="190"/>
      <c r="M386" s="191"/>
      <c r="N386" s="192"/>
      <c r="O386" s="188"/>
      <c r="P386" s="189"/>
      <c r="Q386" s="186"/>
      <c r="R386" s="187"/>
    </row>
    <row r="387" spans="2:18">
      <c r="B387" s="185"/>
      <c r="C387" s="186"/>
      <c r="D387" s="187"/>
      <c r="E387" s="188"/>
      <c r="F387" s="189"/>
      <c r="G387" s="186"/>
      <c r="H387" s="187"/>
      <c r="I387" s="186"/>
      <c r="J387" s="187"/>
      <c r="K387" s="51"/>
      <c r="L387" s="190"/>
      <c r="M387" s="191"/>
      <c r="N387" s="192"/>
      <c r="O387" s="188"/>
      <c r="P387" s="189"/>
      <c r="Q387" s="186"/>
      <c r="R387" s="187"/>
    </row>
    <row r="388" spans="2:18">
      <c r="B388" s="185"/>
      <c r="C388" s="186"/>
      <c r="D388" s="187"/>
      <c r="E388" s="188"/>
      <c r="F388" s="189"/>
      <c r="G388" s="186"/>
      <c r="H388" s="187"/>
      <c r="I388" s="186"/>
      <c r="J388" s="187"/>
      <c r="K388" s="51"/>
      <c r="L388" s="190"/>
      <c r="M388" s="191"/>
      <c r="N388" s="192"/>
      <c r="O388" s="188"/>
      <c r="P388" s="189"/>
      <c r="Q388" s="186"/>
      <c r="R388" s="187"/>
    </row>
    <row r="389" spans="2:18">
      <c r="B389" s="185"/>
      <c r="C389" s="186"/>
      <c r="D389" s="187"/>
      <c r="E389" s="188"/>
      <c r="F389" s="189"/>
      <c r="G389" s="186"/>
      <c r="H389" s="187"/>
      <c r="I389" s="186"/>
      <c r="J389" s="187"/>
      <c r="K389" s="51"/>
      <c r="L389" s="190"/>
      <c r="M389" s="191"/>
      <c r="N389" s="192"/>
      <c r="O389" s="188"/>
      <c r="P389" s="189"/>
      <c r="Q389" s="186"/>
      <c r="R389" s="187"/>
    </row>
    <row r="390" spans="2:18">
      <c r="B390" s="185"/>
      <c r="C390" s="186"/>
      <c r="D390" s="187"/>
      <c r="E390" s="188"/>
      <c r="F390" s="189"/>
      <c r="G390" s="186"/>
      <c r="H390" s="187"/>
      <c r="I390" s="186"/>
      <c r="J390" s="187"/>
      <c r="K390" s="51"/>
      <c r="L390" s="190"/>
      <c r="M390" s="191"/>
      <c r="N390" s="192"/>
      <c r="O390" s="188"/>
      <c r="P390" s="189"/>
      <c r="Q390" s="186"/>
      <c r="R390" s="187"/>
    </row>
    <row r="391" spans="2:18">
      <c r="B391" s="185"/>
      <c r="C391" s="186"/>
      <c r="D391" s="187"/>
      <c r="E391" s="188"/>
      <c r="F391" s="189"/>
      <c r="G391" s="186"/>
      <c r="H391" s="187"/>
      <c r="I391" s="186"/>
      <c r="J391" s="187"/>
      <c r="K391" s="51"/>
      <c r="L391" s="190"/>
      <c r="M391" s="191"/>
      <c r="N391" s="192"/>
      <c r="O391" s="188"/>
      <c r="P391" s="189"/>
      <c r="Q391" s="186"/>
      <c r="R391" s="187"/>
    </row>
    <row r="392" spans="2:18">
      <c r="B392" s="185"/>
      <c r="C392" s="186"/>
      <c r="D392" s="187"/>
      <c r="E392" s="188"/>
      <c r="F392" s="189"/>
      <c r="G392" s="186"/>
      <c r="H392" s="187"/>
      <c r="I392" s="186"/>
      <c r="J392" s="187"/>
      <c r="K392" s="51"/>
      <c r="L392" s="190"/>
      <c r="M392" s="191"/>
      <c r="N392" s="192"/>
      <c r="O392" s="188"/>
      <c r="P392" s="189"/>
      <c r="Q392" s="186"/>
      <c r="R392" s="187"/>
    </row>
    <row r="393" spans="2:18">
      <c r="B393" s="185"/>
      <c r="C393" s="186"/>
      <c r="D393" s="187"/>
      <c r="E393" s="188"/>
      <c r="F393" s="189"/>
      <c r="G393" s="186"/>
      <c r="H393" s="187"/>
      <c r="I393" s="186"/>
      <c r="J393" s="187"/>
      <c r="K393" s="51"/>
      <c r="L393" s="190"/>
      <c r="M393" s="191"/>
      <c r="N393" s="192"/>
      <c r="O393" s="188"/>
      <c r="P393" s="189"/>
      <c r="Q393" s="186"/>
      <c r="R393" s="187"/>
    </row>
    <row r="394" spans="2:18">
      <c r="B394" s="185"/>
      <c r="C394" s="186"/>
      <c r="D394" s="187"/>
      <c r="E394" s="188"/>
      <c r="F394" s="189"/>
      <c r="G394" s="186"/>
      <c r="H394" s="187"/>
      <c r="I394" s="186"/>
      <c r="J394" s="187"/>
      <c r="K394" s="51"/>
      <c r="L394" s="190"/>
      <c r="M394" s="191"/>
      <c r="N394" s="192"/>
      <c r="O394" s="188"/>
      <c r="P394" s="189"/>
      <c r="Q394" s="186"/>
      <c r="R394" s="187"/>
    </row>
    <row r="395" spans="2:18">
      <c r="B395" s="185"/>
      <c r="C395" s="186"/>
      <c r="D395" s="187"/>
      <c r="E395" s="188"/>
      <c r="F395" s="189"/>
      <c r="G395" s="186"/>
      <c r="H395" s="187"/>
      <c r="I395" s="186"/>
      <c r="J395" s="187"/>
      <c r="K395" s="51"/>
      <c r="L395" s="190"/>
      <c r="M395" s="191"/>
      <c r="N395" s="192"/>
      <c r="O395" s="188"/>
      <c r="P395" s="189"/>
      <c r="Q395" s="186"/>
      <c r="R395" s="187"/>
    </row>
    <row r="396" spans="2:18">
      <c r="B396" s="185"/>
      <c r="C396" s="186"/>
      <c r="D396" s="187"/>
      <c r="E396" s="188"/>
      <c r="F396" s="189"/>
      <c r="G396" s="186"/>
      <c r="H396" s="187"/>
      <c r="I396" s="186"/>
      <c r="J396" s="187"/>
      <c r="K396" s="51"/>
      <c r="L396" s="190"/>
      <c r="M396" s="191"/>
      <c r="N396" s="192"/>
      <c r="O396" s="188"/>
      <c r="P396" s="189"/>
      <c r="Q396" s="186"/>
      <c r="R396" s="187"/>
    </row>
    <row r="397" spans="2:18">
      <c r="B397" s="185"/>
      <c r="C397" s="186"/>
      <c r="D397" s="187"/>
      <c r="E397" s="188"/>
      <c r="F397" s="189"/>
      <c r="G397" s="186"/>
      <c r="H397" s="187"/>
      <c r="I397" s="186"/>
      <c r="J397" s="187"/>
      <c r="K397" s="51"/>
      <c r="L397" s="190"/>
      <c r="M397" s="191"/>
      <c r="N397" s="192"/>
      <c r="O397" s="188"/>
      <c r="P397" s="189"/>
      <c r="Q397" s="186"/>
      <c r="R397" s="187"/>
    </row>
    <row r="398" spans="2:18">
      <c r="B398" s="185"/>
      <c r="C398" s="186"/>
      <c r="D398" s="187"/>
      <c r="E398" s="188"/>
      <c r="F398" s="189"/>
      <c r="G398" s="186"/>
      <c r="H398" s="187"/>
      <c r="I398" s="186"/>
      <c r="J398" s="187"/>
      <c r="K398" s="51"/>
      <c r="L398" s="190"/>
      <c r="M398" s="191"/>
      <c r="N398" s="192"/>
      <c r="O398" s="188"/>
      <c r="P398" s="189"/>
      <c r="Q398" s="186"/>
      <c r="R398" s="187"/>
    </row>
    <row r="399" spans="2:18">
      <c r="B399" s="185"/>
      <c r="C399" s="186"/>
      <c r="D399" s="187"/>
      <c r="E399" s="188"/>
      <c r="F399" s="189"/>
      <c r="G399" s="186"/>
      <c r="H399" s="187"/>
      <c r="I399" s="186"/>
      <c r="J399" s="187"/>
      <c r="K399" s="51"/>
      <c r="L399" s="190"/>
      <c r="M399" s="191"/>
      <c r="N399" s="192"/>
      <c r="O399" s="188"/>
      <c r="P399" s="189"/>
      <c r="Q399" s="186"/>
      <c r="R399" s="187"/>
    </row>
    <row r="400" spans="2:18">
      <c r="B400" s="185"/>
      <c r="C400" s="186"/>
      <c r="D400" s="187"/>
      <c r="E400" s="188"/>
      <c r="F400" s="189"/>
      <c r="G400" s="186"/>
      <c r="H400" s="187"/>
      <c r="I400" s="186"/>
      <c r="J400" s="187"/>
      <c r="K400" s="51"/>
      <c r="L400" s="190"/>
      <c r="M400" s="191"/>
      <c r="N400" s="192"/>
      <c r="O400" s="188"/>
      <c r="P400" s="189"/>
      <c r="Q400" s="186"/>
      <c r="R400" s="187"/>
    </row>
    <row r="401" spans="2:18">
      <c r="B401" s="185"/>
      <c r="C401" s="186"/>
      <c r="D401" s="187"/>
      <c r="E401" s="188"/>
      <c r="F401" s="189"/>
      <c r="G401" s="186"/>
      <c r="H401" s="187"/>
      <c r="I401" s="186"/>
      <c r="J401" s="187"/>
      <c r="K401" s="51"/>
      <c r="L401" s="190"/>
      <c r="M401" s="191"/>
      <c r="N401" s="192"/>
      <c r="O401" s="188"/>
      <c r="P401" s="189"/>
      <c r="Q401" s="186"/>
      <c r="R401" s="187"/>
    </row>
    <row r="402" spans="2:18">
      <c r="B402" s="185"/>
      <c r="C402" s="186"/>
      <c r="D402" s="187"/>
      <c r="E402" s="188"/>
      <c r="F402" s="189"/>
      <c r="G402" s="186"/>
      <c r="H402" s="187"/>
      <c r="I402" s="186"/>
      <c r="J402" s="187"/>
      <c r="K402" s="51"/>
      <c r="L402" s="190"/>
      <c r="M402" s="191"/>
      <c r="N402" s="192"/>
      <c r="O402" s="188"/>
      <c r="P402" s="189"/>
      <c r="Q402" s="186"/>
      <c r="R402" s="187"/>
    </row>
    <row r="403" spans="2:18">
      <c r="B403" s="185"/>
      <c r="C403" s="186"/>
      <c r="D403" s="187"/>
      <c r="E403" s="188"/>
      <c r="F403" s="189"/>
      <c r="G403" s="186"/>
      <c r="H403" s="187"/>
      <c r="I403" s="186"/>
      <c r="J403" s="187"/>
      <c r="K403" s="51"/>
      <c r="L403" s="190"/>
      <c r="M403" s="191"/>
      <c r="N403" s="192"/>
      <c r="O403" s="188"/>
      <c r="P403" s="189"/>
      <c r="Q403" s="186"/>
      <c r="R403" s="187"/>
    </row>
    <row r="404" spans="2:18">
      <c r="B404" s="185"/>
      <c r="C404" s="186"/>
      <c r="D404" s="187"/>
      <c r="E404" s="188"/>
      <c r="F404" s="189"/>
      <c r="G404" s="186"/>
      <c r="H404" s="187"/>
      <c r="I404" s="186"/>
      <c r="J404" s="187"/>
      <c r="K404" s="51"/>
      <c r="L404" s="190"/>
      <c r="M404" s="191"/>
      <c r="N404" s="192"/>
      <c r="O404" s="188"/>
      <c r="P404" s="189"/>
      <c r="Q404" s="186"/>
      <c r="R404" s="187"/>
    </row>
    <row r="405" spans="2:18">
      <c r="B405" s="185"/>
      <c r="C405" s="186"/>
      <c r="D405" s="187"/>
      <c r="E405" s="188"/>
      <c r="F405" s="189"/>
      <c r="G405" s="186"/>
      <c r="H405" s="187"/>
      <c r="I405" s="186"/>
      <c r="J405" s="187"/>
      <c r="K405" s="51"/>
      <c r="L405" s="190"/>
      <c r="M405" s="191"/>
      <c r="N405" s="192"/>
      <c r="O405" s="188"/>
      <c r="P405" s="189"/>
      <c r="Q405" s="186"/>
      <c r="R405" s="187"/>
    </row>
    <row r="406" spans="2:18">
      <c r="B406" s="185"/>
      <c r="C406" s="186"/>
      <c r="D406" s="187"/>
      <c r="E406" s="188"/>
      <c r="F406" s="189"/>
      <c r="G406" s="186"/>
      <c r="H406" s="187"/>
      <c r="I406" s="186"/>
      <c r="J406" s="187"/>
      <c r="K406" s="51"/>
      <c r="L406" s="190"/>
      <c r="M406" s="191"/>
      <c r="N406" s="192"/>
      <c r="O406" s="188"/>
      <c r="P406" s="189"/>
      <c r="Q406" s="186"/>
      <c r="R406" s="187"/>
    </row>
    <row r="407" spans="2:18">
      <c r="B407" s="185"/>
      <c r="C407" s="186"/>
      <c r="D407" s="187"/>
      <c r="E407" s="188"/>
      <c r="F407" s="189"/>
      <c r="G407" s="186"/>
      <c r="H407" s="187"/>
      <c r="I407" s="186"/>
      <c r="J407" s="187"/>
      <c r="K407" s="51"/>
      <c r="L407" s="190"/>
      <c r="M407" s="191"/>
      <c r="N407" s="192"/>
      <c r="O407" s="188"/>
      <c r="P407" s="189"/>
      <c r="Q407" s="186"/>
      <c r="R407" s="187"/>
    </row>
    <row r="408" spans="2:18">
      <c r="B408" s="185"/>
      <c r="C408" s="186"/>
      <c r="D408" s="187"/>
      <c r="E408" s="188"/>
      <c r="F408" s="189"/>
      <c r="G408" s="186"/>
      <c r="H408" s="187"/>
      <c r="I408" s="186"/>
      <c r="J408" s="187"/>
      <c r="K408" s="51"/>
      <c r="L408" s="190"/>
      <c r="M408" s="191"/>
      <c r="N408" s="192"/>
      <c r="O408" s="188"/>
      <c r="P408" s="189"/>
      <c r="Q408" s="186"/>
      <c r="R408" s="187"/>
    </row>
    <row r="409" spans="2:18">
      <c r="B409" s="185"/>
      <c r="C409" s="186"/>
      <c r="D409" s="187"/>
      <c r="E409" s="188"/>
      <c r="F409" s="189"/>
      <c r="G409" s="186"/>
      <c r="H409" s="187"/>
      <c r="I409" s="186"/>
      <c r="J409" s="187"/>
      <c r="K409" s="51"/>
      <c r="L409" s="190"/>
      <c r="M409" s="191"/>
      <c r="N409" s="192"/>
      <c r="O409" s="188"/>
      <c r="P409" s="189"/>
      <c r="Q409" s="186"/>
      <c r="R409" s="187"/>
    </row>
    <row r="410" spans="2:18">
      <c r="B410" s="185"/>
      <c r="C410" s="186"/>
      <c r="D410" s="187"/>
      <c r="E410" s="188"/>
      <c r="F410" s="189"/>
      <c r="G410" s="186"/>
      <c r="H410" s="187"/>
      <c r="I410" s="186"/>
      <c r="J410" s="187"/>
      <c r="K410" s="51"/>
      <c r="L410" s="190"/>
      <c r="M410" s="191"/>
      <c r="N410" s="192"/>
      <c r="O410" s="188"/>
      <c r="P410" s="189"/>
      <c r="Q410" s="186"/>
      <c r="R410" s="187"/>
    </row>
    <row r="411" spans="2:18">
      <c r="B411" s="185"/>
      <c r="C411" s="186"/>
      <c r="D411" s="187"/>
      <c r="E411" s="188"/>
      <c r="F411" s="189"/>
      <c r="G411" s="186"/>
      <c r="H411" s="187"/>
      <c r="I411" s="186"/>
      <c r="J411" s="187"/>
      <c r="K411" s="51"/>
      <c r="L411" s="190"/>
      <c r="M411" s="191"/>
      <c r="N411" s="192"/>
      <c r="O411" s="188"/>
      <c r="P411" s="189"/>
      <c r="Q411" s="186"/>
      <c r="R411" s="187"/>
    </row>
    <row r="412" spans="2:18">
      <c r="B412" s="185"/>
      <c r="C412" s="186"/>
      <c r="D412" s="187"/>
      <c r="E412" s="188"/>
      <c r="F412" s="189"/>
      <c r="G412" s="186"/>
      <c r="H412" s="187"/>
      <c r="I412" s="186"/>
      <c r="J412" s="187"/>
      <c r="K412" s="51"/>
      <c r="L412" s="190"/>
      <c r="M412" s="191"/>
      <c r="N412" s="192"/>
      <c r="O412" s="188"/>
      <c r="P412" s="189"/>
      <c r="Q412" s="186"/>
      <c r="R412" s="187"/>
    </row>
    <row r="413" spans="2:18">
      <c r="B413" s="185"/>
      <c r="C413" s="186"/>
      <c r="D413" s="187"/>
      <c r="E413" s="188"/>
      <c r="F413" s="189"/>
      <c r="G413" s="186"/>
      <c r="H413" s="187"/>
      <c r="I413" s="186"/>
      <c r="J413" s="187"/>
      <c r="K413" s="51"/>
      <c r="L413" s="190"/>
      <c r="M413" s="191"/>
      <c r="N413" s="192"/>
      <c r="O413" s="188"/>
      <c r="P413" s="189"/>
      <c r="Q413" s="186"/>
      <c r="R413" s="187"/>
    </row>
    <row r="414" spans="2:18">
      <c r="B414" s="185"/>
      <c r="C414" s="186"/>
      <c r="D414" s="187"/>
      <c r="E414" s="188"/>
      <c r="F414" s="189"/>
      <c r="G414" s="186"/>
      <c r="H414" s="187"/>
      <c r="I414" s="186"/>
      <c r="J414" s="187"/>
      <c r="K414" s="51"/>
      <c r="L414" s="190"/>
      <c r="M414" s="191"/>
      <c r="N414" s="192"/>
      <c r="O414" s="188"/>
      <c r="P414" s="189"/>
      <c r="Q414" s="186"/>
      <c r="R414" s="187"/>
    </row>
    <row r="415" spans="2:18">
      <c r="B415" s="185"/>
      <c r="C415" s="186"/>
      <c r="D415" s="187"/>
      <c r="E415" s="188"/>
      <c r="F415" s="189"/>
      <c r="G415" s="186"/>
      <c r="H415" s="187"/>
      <c r="I415" s="186"/>
      <c r="J415" s="187"/>
      <c r="K415" s="51"/>
      <c r="L415" s="190"/>
      <c r="M415" s="191"/>
      <c r="N415" s="192"/>
      <c r="O415" s="188"/>
      <c r="P415" s="189"/>
      <c r="Q415" s="186"/>
      <c r="R415" s="187"/>
    </row>
    <row r="416" spans="2:18">
      <c r="B416" s="185"/>
      <c r="C416" s="186"/>
      <c r="D416" s="187"/>
      <c r="E416" s="188"/>
      <c r="F416" s="189"/>
      <c r="G416" s="186"/>
      <c r="H416" s="187"/>
      <c r="I416" s="186"/>
      <c r="J416" s="187"/>
      <c r="K416" s="51"/>
      <c r="L416" s="190"/>
      <c r="M416" s="191"/>
      <c r="N416" s="192"/>
      <c r="O416" s="188"/>
      <c r="P416" s="189"/>
      <c r="Q416" s="186"/>
      <c r="R416" s="187"/>
    </row>
    <row r="417" spans="2:18">
      <c r="B417" s="185"/>
      <c r="C417" s="186"/>
      <c r="D417" s="187"/>
      <c r="E417" s="188"/>
      <c r="F417" s="189"/>
      <c r="G417" s="186"/>
      <c r="H417" s="187"/>
      <c r="I417" s="186"/>
      <c r="J417" s="187"/>
      <c r="K417" s="51"/>
      <c r="L417" s="190"/>
      <c r="M417" s="191"/>
      <c r="N417" s="192"/>
      <c r="O417" s="188"/>
      <c r="P417" s="189"/>
      <c r="Q417" s="186"/>
      <c r="R417" s="187"/>
    </row>
    <row r="418" spans="2:18">
      <c r="B418" s="185"/>
      <c r="C418" s="186"/>
      <c r="D418" s="187"/>
      <c r="E418" s="188"/>
      <c r="F418" s="189"/>
      <c r="G418" s="186"/>
      <c r="H418" s="187"/>
      <c r="I418" s="186"/>
      <c r="J418" s="187"/>
      <c r="K418" s="51"/>
      <c r="L418" s="190"/>
      <c r="M418" s="191"/>
      <c r="N418" s="192"/>
      <c r="O418" s="188"/>
      <c r="P418" s="189"/>
      <c r="Q418" s="186"/>
      <c r="R418" s="187"/>
    </row>
    <row r="419" spans="2:18">
      <c r="B419" s="185"/>
      <c r="C419" s="186"/>
      <c r="D419" s="187"/>
      <c r="E419" s="188"/>
      <c r="F419" s="189"/>
      <c r="G419" s="186"/>
      <c r="H419" s="187"/>
      <c r="I419" s="186"/>
      <c r="J419" s="187"/>
      <c r="K419" s="51"/>
      <c r="L419" s="190"/>
      <c r="M419" s="191"/>
      <c r="N419" s="192"/>
      <c r="O419" s="188"/>
      <c r="P419" s="189"/>
      <c r="Q419" s="186"/>
      <c r="R419" s="187"/>
    </row>
    <row r="420" spans="2:18">
      <c r="B420" s="185"/>
      <c r="C420" s="186"/>
      <c r="D420" s="187"/>
      <c r="E420" s="188"/>
      <c r="F420" s="189"/>
      <c r="G420" s="186"/>
      <c r="H420" s="187"/>
      <c r="I420" s="186"/>
      <c r="J420" s="187"/>
      <c r="K420" s="51"/>
      <c r="L420" s="190"/>
      <c r="M420" s="191"/>
      <c r="N420" s="192"/>
      <c r="O420" s="188"/>
      <c r="P420" s="189"/>
      <c r="Q420" s="186"/>
      <c r="R420" s="187"/>
    </row>
    <row r="421" spans="2:18">
      <c r="B421" s="185"/>
      <c r="C421" s="186"/>
      <c r="D421" s="187"/>
      <c r="E421" s="188"/>
      <c r="F421" s="189"/>
      <c r="G421" s="186"/>
      <c r="H421" s="187"/>
      <c r="I421" s="186"/>
      <c r="J421" s="187"/>
      <c r="K421" s="51"/>
      <c r="L421" s="190"/>
      <c r="M421" s="191"/>
      <c r="N421" s="192"/>
      <c r="O421" s="188"/>
      <c r="P421" s="189"/>
      <c r="Q421" s="186"/>
      <c r="R421" s="187"/>
    </row>
    <row r="422" spans="2:18">
      <c r="B422" s="185"/>
      <c r="C422" s="186"/>
      <c r="D422" s="187"/>
      <c r="E422" s="188"/>
      <c r="F422" s="189"/>
      <c r="G422" s="186"/>
      <c r="H422" s="187"/>
      <c r="I422" s="186"/>
      <c r="J422" s="187"/>
      <c r="K422" s="51"/>
      <c r="L422" s="190"/>
      <c r="M422" s="191"/>
      <c r="N422" s="192"/>
      <c r="O422" s="188"/>
      <c r="P422" s="189"/>
      <c r="Q422" s="186"/>
      <c r="R422" s="187"/>
    </row>
    <row r="423" spans="2:18">
      <c r="B423" s="185"/>
      <c r="C423" s="186"/>
      <c r="D423" s="187"/>
      <c r="E423" s="188"/>
      <c r="F423" s="189"/>
      <c r="G423" s="186"/>
      <c r="H423" s="187"/>
      <c r="I423" s="186"/>
      <c r="J423" s="187"/>
      <c r="K423" s="51"/>
      <c r="L423" s="190"/>
      <c r="M423" s="191"/>
      <c r="N423" s="192"/>
      <c r="O423" s="188"/>
      <c r="P423" s="189"/>
      <c r="Q423" s="186"/>
      <c r="R423" s="187"/>
    </row>
    <row r="424" spans="2:18">
      <c r="B424" s="185"/>
      <c r="C424" s="186"/>
      <c r="D424" s="187"/>
      <c r="E424" s="188"/>
      <c r="F424" s="189"/>
      <c r="G424" s="186"/>
      <c r="H424" s="187"/>
      <c r="I424" s="186"/>
      <c r="J424" s="187"/>
      <c r="K424" s="51"/>
      <c r="L424" s="190"/>
      <c r="M424" s="191"/>
      <c r="N424" s="192"/>
      <c r="O424" s="188"/>
      <c r="P424" s="189"/>
      <c r="Q424" s="186"/>
      <c r="R424" s="187"/>
    </row>
    <row r="425" spans="2:18">
      <c r="B425" s="185"/>
      <c r="C425" s="186"/>
      <c r="D425" s="187"/>
      <c r="E425" s="188"/>
      <c r="F425" s="189"/>
      <c r="G425" s="186"/>
      <c r="H425" s="187"/>
      <c r="I425" s="186"/>
      <c r="J425" s="187"/>
      <c r="K425" s="51"/>
      <c r="L425" s="190"/>
      <c r="M425" s="191"/>
      <c r="N425" s="192"/>
      <c r="O425" s="188"/>
      <c r="P425" s="189"/>
      <c r="Q425" s="186"/>
      <c r="R425" s="187"/>
    </row>
    <row r="426" spans="2:18">
      <c r="B426" s="185"/>
      <c r="C426" s="186"/>
      <c r="D426" s="187"/>
      <c r="E426" s="188"/>
      <c r="F426" s="189"/>
      <c r="G426" s="186"/>
      <c r="H426" s="187"/>
      <c r="I426" s="186"/>
      <c r="J426" s="187"/>
      <c r="K426" s="51"/>
      <c r="L426" s="190"/>
      <c r="M426" s="191"/>
      <c r="N426" s="192"/>
      <c r="O426" s="188"/>
      <c r="P426" s="189"/>
      <c r="Q426" s="186"/>
      <c r="R426" s="187"/>
    </row>
    <row r="427" spans="2:18">
      <c r="B427" s="185"/>
      <c r="C427" s="186"/>
      <c r="D427" s="187"/>
      <c r="E427" s="188"/>
      <c r="F427" s="189"/>
      <c r="G427" s="186"/>
      <c r="H427" s="187"/>
      <c r="I427" s="186"/>
      <c r="J427" s="187"/>
      <c r="K427" s="51"/>
      <c r="L427" s="190"/>
      <c r="M427" s="191"/>
      <c r="N427" s="192"/>
      <c r="O427" s="188"/>
      <c r="P427" s="189"/>
      <c r="Q427" s="186"/>
      <c r="R427" s="187"/>
    </row>
    <row r="428" spans="2:18">
      <c r="B428" s="185"/>
      <c r="C428" s="186"/>
      <c r="D428" s="187"/>
      <c r="E428" s="188"/>
      <c r="F428" s="189"/>
      <c r="G428" s="186"/>
      <c r="H428" s="187"/>
      <c r="I428" s="186"/>
      <c r="J428" s="187"/>
      <c r="K428" s="51"/>
      <c r="L428" s="190"/>
      <c r="M428" s="191"/>
      <c r="N428" s="192"/>
      <c r="O428" s="188"/>
      <c r="P428" s="189"/>
      <c r="Q428" s="186"/>
      <c r="R428" s="187"/>
    </row>
    <row r="429" spans="2:18">
      <c r="B429" s="185"/>
      <c r="C429" s="186"/>
      <c r="D429" s="187"/>
      <c r="E429" s="188"/>
      <c r="F429" s="189"/>
      <c r="G429" s="186"/>
      <c r="H429" s="187"/>
      <c r="I429" s="186"/>
      <c r="J429" s="187"/>
      <c r="K429" s="51"/>
      <c r="L429" s="190"/>
      <c r="M429" s="191"/>
      <c r="N429" s="192"/>
      <c r="O429" s="188"/>
      <c r="P429" s="189"/>
      <c r="Q429" s="186"/>
      <c r="R429" s="187"/>
    </row>
    <row r="430" spans="2:18">
      <c r="B430" s="185"/>
      <c r="C430" s="186"/>
      <c r="D430" s="187"/>
      <c r="E430" s="188"/>
      <c r="F430" s="189"/>
      <c r="G430" s="186"/>
      <c r="H430" s="187"/>
      <c r="I430" s="186"/>
      <c r="J430" s="187"/>
      <c r="K430" s="51"/>
      <c r="L430" s="190"/>
      <c r="M430" s="191"/>
      <c r="N430" s="192"/>
      <c r="O430" s="188"/>
      <c r="P430" s="189"/>
      <c r="Q430" s="186"/>
      <c r="R430" s="187"/>
    </row>
    <row r="431" spans="2:18">
      <c r="B431" s="185"/>
      <c r="C431" s="186"/>
      <c r="D431" s="187"/>
      <c r="E431" s="188"/>
      <c r="F431" s="189"/>
      <c r="G431" s="186"/>
      <c r="H431" s="187"/>
      <c r="I431" s="186"/>
      <c r="J431" s="187"/>
      <c r="K431" s="51"/>
      <c r="L431" s="190"/>
      <c r="M431" s="191"/>
      <c r="N431" s="192"/>
      <c r="O431" s="188"/>
      <c r="P431" s="189"/>
      <c r="Q431" s="186"/>
      <c r="R431" s="187"/>
    </row>
    <row r="432" spans="2:18">
      <c r="B432" s="185"/>
      <c r="C432" s="186"/>
      <c r="D432" s="187"/>
      <c r="E432" s="188"/>
      <c r="F432" s="189"/>
      <c r="G432" s="186"/>
      <c r="H432" s="187"/>
      <c r="I432" s="186"/>
      <c r="J432" s="187"/>
      <c r="K432" s="51"/>
      <c r="L432" s="190"/>
      <c r="M432" s="191"/>
      <c r="N432" s="192"/>
      <c r="O432" s="188"/>
      <c r="P432" s="189"/>
      <c r="Q432" s="186"/>
      <c r="R432" s="187"/>
    </row>
    <row r="433" spans="2:18">
      <c r="B433" s="185"/>
      <c r="C433" s="186"/>
      <c r="D433" s="187"/>
      <c r="E433" s="188"/>
      <c r="F433" s="189"/>
      <c r="G433" s="186"/>
      <c r="H433" s="187"/>
      <c r="I433" s="186"/>
      <c r="J433" s="187"/>
      <c r="K433" s="51"/>
      <c r="L433" s="190"/>
      <c r="M433" s="191"/>
      <c r="N433" s="192"/>
      <c r="O433" s="188"/>
      <c r="P433" s="189"/>
      <c r="Q433" s="186"/>
      <c r="R433" s="187"/>
    </row>
    <row r="434" spans="2:18">
      <c r="B434" s="185"/>
      <c r="C434" s="186"/>
      <c r="D434" s="187"/>
      <c r="E434" s="188"/>
      <c r="F434" s="189"/>
      <c r="G434" s="186"/>
      <c r="H434" s="187"/>
      <c r="I434" s="186"/>
      <c r="J434" s="187"/>
      <c r="K434" s="51"/>
      <c r="L434" s="190"/>
      <c r="M434" s="191"/>
      <c r="N434" s="192"/>
      <c r="O434" s="188"/>
      <c r="P434" s="189"/>
      <c r="Q434" s="186"/>
      <c r="R434" s="187"/>
    </row>
    <row r="435" spans="2:18">
      <c r="B435" s="185"/>
      <c r="C435" s="186"/>
      <c r="D435" s="187"/>
      <c r="E435" s="188"/>
      <c r="F435" s="189"/>
      <c r="G435" s="186"/>
      <c r="H435" s="187"/>
      <c r="I435" s="186"/>
      <c r="J435" s="187"/>
      <c r="K435" s="51"/>
      <c r="L435" s="190"/>
      <c r="M435" s="191"/>
      <c r="N435" s="192"/>
      <c r="O435" s="188"/>
      <c r="P435" s="189"/>
      <c r="Q435" s="186"/>
      <c r="R435" s="187"/>
    </row>
    <row r="436" spans="2:18">
      <c r="B436" s="185"/>
      <c r="C436" s="186"/>
      <c r="D436" s="187"/>
      <c r="E436" s="188"/>
      <c r="F436" s="189"/>
      <c r="G436" s="186"/>
      <c r="H436" s="187"/>
      <c r="I436" s="186"/>
      <c r="J436" s="187"/>
      <c r="K436" s="51"/>
      <c r="L436" s="190"/>
      <c r="M436" s="191"/>
      <c r="N436" s="192"/>
      <c r="O436" s="188"/>
      <c r="P436" s="189"/>
      <c r="Q436" s="186"/>
      <c r="R436" s="187"/>
    </row>
    <row r="437" spans="2:18">
      <c r="B437" s="185"/>
      <c r="C437" s="186"/>
      <c r="D437" s="187"/>
      <c r="E437" s="188"/>
      <c r="F437" s="189"/>
      <c r="G437" s="186"/>
      <c r="H437" s="187"/>
      <c r="I437" s="186"/>
      <c r="J437" s="187"/>
      <c r="K437" s="51"/>
      <c r="L437" s="190"/>
      <c r="M437" s="191"/>
      <c r="N437" s="192"/>
      <c r="O437" s="188"/>
      <c r="P437" s="189"/>
      <c r="Q437" s="186"/>
      <c r="R437" s="187"/>
    </row>
    <row r="438" spans="2:18">
      <c r="B438" s="185"/>
      <c r="C438" s="186"/>
      <c r="D438" s="187"/>
      <c r="E438" s="188"/>
      <c r="F438" s="189"/>
      <c r="G438" s="186"/>
      <c r="H438" s="187"/>
      <c r="I438" s="186"/>
      <c r="J438" s="187"/>
      <c r="K438" s="51"/>
      <c r="L438" s="190"/>
      <c r="M438" s="191"/>
      <c r="N438" s="192"/>
      <c r="O438" s="188"/>
      <c r="P438" s="189"/>
      <c r="Q438" s="186"/>
      <c r="R438" s="187"/>
    </row>
    <row r="439" spans="2:18">
      <c r="B439" s="185"/>
      <c r="C439" s="186"/>
      <c r="D439" s="187"/>
      <c r="E439" s="188"/>
      <c r="F439" s="189"/>
      <c r="G439" s="186"/>
      <c r="H439" s="187"/>
      <c r="I439" s="186"/>
      <c r="J439" s="187"/>
      <c r="K439" s="51"/>
      <c r="L439" s="190"/>
      <c r="M439" s="191"/>
      <c r="N439" s="192"/>
      <c r="O439" s="188"/>
      <c r="P439" s="189"/>
      <c r="Q439" s="186"/>
      <c r="R439" s="187"/>
    </row>
    <row r="440" spans="2:18">
      <c r="B440" s="185"/>
      <c r="C440" s="186"/>
      <c r="D440" s="187"/>
      <c r="E440" s="188"/>
      <c r="F440" s="189"/>
      <c r="G440" s="186"/>
      <c r="H440" s="187"/>
      <c r="I440" s="186"/>
      <c r="J440" s="187"/>
      <c r="K440" s="51"/>
      <c r="L440" s="190"/>
      <c r="M440" s="191"/>
      <c r="N440" s="192"/>
      <c r="O440" s="188"/>
      <c r="P440" s="189"/>
      <c r="Q440" s="186"/>
      <c r="R440" s="187"/>
    </row>
    <row r="441" spans="2:18">
      <c r="B441" s="185"/>
      <c r="C441" s="186"/>
      <c r="D441" s="187"/>
      <c r="E441" s="188"/>
      <c r="F441" s="189"/>
      <c r="G441" s="186"/>
      <c r="H441" s="187"/>
      <c r="I441" s="186"/>
      <c r="J441" s="187"/>
      <c r="K441" s="51"/>
      <c r="L441" s="190"/>
      <c r="M441" s="191"/>
      <c r="N441" s="192"/>
      <c r="O441" s="188"/>
      <c r="P441" s="189"/>
      <c r="Q441" s="186"/>
      <c r="R441" s="187"/>
    </row>
    <row r="442" spans="2:18">
      <c r="B442" s="185"/>
      <c r="C442" s="186"/>
      <c r="D442" s="187"/>
      <c r="E442" s="188"/>
      <c r="F442" s="189"/>
      <c r="G442" s="186"/>
      <c r="H442" s="187"/>
      <c r="I442" s="186"/>
      <c r="J442" s="187"/>
      <c r="K442" s="51"/>
      <c r="L442" s="190"/>
      <c r="M442" s="191"/>
      <c r="N442" s="192"/>
      <c r="O442" s="188"/>
      <c r="P442" s="189"/>
      <c r="Q442" s="186"/>
      <c r="R442" s="187"/>
    </row>
    <row r="443" spans="2:18">
      <c r="B443" s="185"/>
      <c r="C443" s="186"/>
      <c r="D443" s="187"/>
      <c r="E443" s="188"/>
      <c r="F443" s="189"/>
      <c r="G443" s="186"/>
      <c r="H443" s="187"/>
      <c r="I443" s="186"/>
      <c r="J443" s="187"/>
      <c r="K443" s="51"/>
      <c r="L443" s="190"/>
      <c r="M443" s="191"/>
      <c r="N443" s="192"/>
      <c r="O443" s="188"/>
      <c r="P443" s="189"/>
      <c r="Q443" s="186"/>
      <c r="R443" s="187"/>
    </row>
    <row r="444" spans="2:18">
      <c r="B444" s="185"/>
      <c r="C444" s="186"/>
      <c r="D444" s="187"/>
      <c r="E444" s="188"/>
      <c r="F444" s="189"/>
      <c r="G444" s="186"/>
      <c r="H444" s="187"/>
      <c r="I444" s="186"/>
      <c r="J444" s="187"/>
      <c r="K444" s="51"/>
      <c r="L444" s="190"/>
      <c r="M444" s="191"/>
      <c r="N444" s="192"/>
      <c r="O444" s="188"/>
      <c r="P444" s="189"/>
      <c r="Q444" s="186"/>
      <c r="R444" s="187"/>
    </row>
    <row r="445" spans="2:18">
      <c r="B445" s="185"/>
      <c r="C445" s="186"/>
      <c r="D445" s="187"/>
      <c r="E445" s="188"/>
      <c r="F445" s="189"/>
      <c r="G445" s="186"/>
      <c r="H445" s="187"/>
      <c r="I445" s="186"/>
      <c r="J445" s="187"/>
      <c r="K445" s="51"/>
      <c r="L445" s="190"/>
      <c r="M445" s="191"/>
      <c r="N445" s="192"/>
      <c r="O445" s="188"/>
      <c r="P445" s="189"/>
      <c r="Q445" s="186"/>
      <c r="R445" s="187"/>
    </row>
    <row r="446" spans="2:18">
      <c r="B446" s="185"/>
      <c r="C446" s="186"/>
      <c r="D446" s="187"/>
      <c r="E446" s="188"/>
      <c r="F446" s="189"/>
      <c r="G446" s="186"/>
      <c r="H446" s="187"/>
      <c r="I446" s="186"/>
      <c r="J446" s="187"/>
      <c r="K446" s="51"/>
      <c r="L446" s="190"/>
      <c r="M446" s="191"/>
      <c r="N446" s="192"/>
      <c r="O446" s="188"/>
      <c r="P446" s="189"/>
      <c r="Q446" s="186"/>
      <c r="R446" s="187"/>
    </row>
    <row r="447" spans="2:18">
      <c r="B447" s="185"/>
      <c r="C447" s="186"/>
      <c r="D447" s="187"/>
      <c r="E447" s="188"/>
      <c r="F447" s="189"/>
      <c r="G447" s="186"/>
      <c r="H447" s="187"/>
      <c r="I447" s="186"/>
      <c r="J447" s="187"/>
      <c r="K447" s="51"/>
      <c r="L447" s="190"/>
      <c r="M447" s="191"/>
      <c r="N447" s="192"/>
      <c r="O447" s="188"/>
      <c r="P447" s="189"/>
      <c r="Q447" s="186"/>
      <c r="R447" s="187"/>
    </row>
    <row r="448" spans="2:18">
      <c r="B448" s="185"/>
      <c r="C448" s="186"/>
      <c r="D448" s="187"/>
      <c r="E448" s="188"/>
      <c r="F448" s="189"/>
      <c r="G448" s="186"/>
      <c r="H448" s="187"/>
      <c r="I448" s="186"/>
      <c r="J448" s="187"/>
      <c r="K448" s="51"/>
      <c r="L448" s="190"/>
      <c r="M448" s="191"/>
      <c r="N448" s="192"/>
      <c r="O448" s="188"/>
      <c r="P448" s="189"/>
      <c r="Q448" s="186"/>
      <c r="R448" s="187"/>
    </row>
    <row r="449" spans="2:18">
      <c r="B449" s="185"/>
      <c r="C449" s="186"/>
      <c r="D449" s="187"/>
      <c r="E449" s="188"/>
      <c r="F449" s="189"/>
      <c r="G449" s="186"/>
      <c r="H449" s="187"/>
      <c r="I449" s="186"/>
      <c r="J449" s="187"/>
      <c r="K449" s="51"/>
      <c r="L449" s="190"/>
      <c r="M449" s="191"/>
      <c r="N449" s="192"/>
      <c r="O449" s="188"/>
      <c r="P449" s="189"/>
      <c r="Q449" s="186"/>
      <c r="R449" s="187"/>
    </row>
    <row r="450" spans="2:18">
      <c r="B450" s="185"/>
      <c r="C450" s="186"/>
      <c r="D450" s="187"/>
      <c r="E450" s="188"/>
      <c r="F450" s="189"/>
      <c r="G450" s="186"/>
      <c r="H450" s="187"/>
      <c r="I450" s="186"/>
      <c r="J450" s="187"/>
      <c r="K450" s="51"/>
      <c r="L450" s="190"/>
      <c r="M450" s="191"/>
      <c r="N450" s="192"/>
      <c r="O450" s="188"/>
      <c r="P450" s="189"/>
      <c r="Q450" s="186"/>
      <c r="R450" s="187"/>
    </row>
    <row r="451" spans="2:18">
      <c r="B451" s="185"/>
      <c r="C451" s="186"/>
      <c r="D451" s="187"/>
      <c r="E451" s="188"/>
      <c r="F451" s="189"/>
      <c r="G451" s="186"/>
      <c r="H451" s="187"/>
      <c r="I451" s="186"/>
      <c r="J451" s="187"/>
      <c r="K451" s="51"/>
      <c r="L451" s="190"/>
      <c r="M451" s="191"/>
      <c r="N451" s="192"/>
      <c r="O451" s="188"/>
      <c r="P451" s="189"/>
      <c r="Q451" s="186"/>
      <c r="R451" s="187"/>
    </row>
    <row r="452" spans="2:18">
      <c r="B452" s="185"/>
      <c r="C452" s="186"/>
      <c r="D452" s="187"/>
      <c r="E452" s="188"/>
      <c r="F452" s="189"/>
      <c r="G452" s="186"/>
      <c r="H452" s="187"/>
      <c r="I452" s="186"/>
      <c r="J452" s="187"/>
      <c r="K452" s="51"/>
      <c r="L452" s="190"/>
      <c r="M452" s="191"/>
      <c r="N452" s="192"/>
      <c r="O452" s="188"/>
      <c r="P452" s="189"/>
      <c r="Q452" s="186"/>
      <c r="R452" s="187"/>
    </row>
    <row r="453" spans="2:18">
      <c r="B453" s="185"/>
      <c r="C453" s="186"/>
      <c r="D453" s="187"/>
      <c r="E453" s="188"/>
      <c r="F453" s="189"/>
      <c r="G453" s="186"/>
      <c r="H453" s="187"/>
      <c r="I453" s="186"/>
      <c r="J453" s="187"/>
      <c r="K453" s="51"/>
      <c r="L453" s="190"/>
      <c r="M453" s="191"/>
      <c r="N453" s="192"/>
      <c r="O453" s="188"/>
      <c r="P453" s="189"/>
      <c r="Q453" s="186"/>
      <c r="R453" s="187"/>
    </row>
    <row r="454" spans="2:18">
      <c r="B454" s="185"/>
      <c r="C454" s="186"/>
      <c r="D454" s="187"/>
      <c r="E454" s="188"/>
      <c r="F454" s="189"/>
      <c r="G454" s="186"/>
      <c r="H454" s="187"/>
      <c r="I454" s="186"/>
      <c r="J454" s="187"/>
      <c r="K454" s="51"/>
      <c r="L454" s="190"/>
      <c r="M454" s="191"/>
      <c r="N454" s="192"/>
      <c r="O454" s="188"/>
      <c r="P454" s="189"/>
      <c r="Q454" s="186"/>
      <c r="R454" s="187"/>
    </row>
    <row r="455" spans="2:18">
      <c r="B455" s="185"/>
      <c r="C455" s="186"/>
      <c r="D455" s="187"/>
      <c r="E455" s="188"/>
      <c r="F455" s="189"/>
      <c r="G455" s="186"/>
      <c r="H455" s="187"/>
      <c r="I455" s="186"/>
      <c r="J455" s="187"/>
      <c r="K455" s="51"/>
      <c r="L455" s="190"/>
      <c r="M455" s="191"/>
      <c r="N455" s="192"/>
      <c r="O455" s="188"/>
      <c r="P455" s="189"/>
      <c r="Q455" s="186"/>
      <c r="R455" s="187"/>
    </row>
    <row r="456" spans="2:18">
      <c r="B456" s="185"/>
      <c r="C456" s="186"/>
      <c r="D456" s="187"/>
      <c r="E456" s="188"/>
      <c r="F456" s="189"/>
      <c r="G456" s="186"/>
      <c r="H456" s="187"/>
      <c r="I456" s="186"/>
      <c r="J456" s="187"/>
      <c r="K456" s="51"/>
      <c r="L456" s="190"/>
      <c r="M456" s="191"/>
      <c r="N456" s="192"/>
      <c r="O456" s="188"/>
      <c r="P456" s="189"/>
      <c r="Q456" s="186"/>
      <c r="R456" s="187"/>
    </row>
    <row r="457" spans="2:18">
      <c r="B457" s="185"/>
      <c r="C457" s="186"/>
      <c r="D457" s="187"/>
      <c r="E457" s="188"/>
      <c r="F457" s="189"/>
      <c r="G457" s="186"/>
      <c r="H457" s="187"/>
      <c r="I457" s="186"/>
      <c r="J457" s="187"/>
      <c r="K457" s="51"/>
      <c r="L457" s="190"/>
      <c r="M457" s="191"/>
      <c r="N457" s="192"/>
      <c r="O457" s="188"/>
      <c r="P457" s="189"/>
      <c r="Q457" s="186"/>
      <c r="R457" s="187"/>
    </row>
    <row r="458" spans="2:18">
      <c r="B458" s="185"/>
      <c r="C458" s="186"/>
      <c r="D458" s="187"/>
      <c r="E458" s="188"/>
      <c r="F458" s="189"/>
      <c r="G458" s="186"/>
      <c r="H458" s="187"/>
      <c r="I458" s="186"/>
      <c r="J458" s="187"/>
      <c r="K458" s="51"/>
      <c r="L458" s="190"/>
      <c r="M458" s="191"/>
      <c r="N458" s="192"/>
      <c r="O458" s="188"/>
      <c r="P458" s="189"/>
      <c r="Q458" s="186"/>
      <c r="R458" s="187"/>
    </row>
    <row r="459" spans="2:18">
      <c r="B459" s="185"/>
      <c r="C459" s="186"/>
      <c r="D459" s="187"/>
      <c r="E459" s="188"/>
      <c r="F459" s="189"/>
      <c r="G459" s="186"/>
      <c r="H459" s="187"/>
      <c r="I459" s="186"/>
      <c r="J459" s="187"/>
      <c r="K459" s="51"/>
      <c r="L459" s="190"/>
      <c r="M459" s="191"/>
      <c r="N459" s="192"/>
      <c r="O459" s="188"/>
      <c r="P459" s="189"/>
      <c r="Q459" s="186"/>
      <c r="R459" s="187"/>
    </row>
    <row r="460" spans="2:18">
      <c r="B460" s="185"/>
      <c r="C460" s="186"/>
      <c r="D460" s="187"/>
      <c r="E460" s="188"/>
      <c r="F460" s="189"/>
      <c r="G460" s="186"/>
      <c r="H460" s="187"/>
      <c r="I460" s="186"/>
      <c r="J460" s="187"/>
      <c r="K460" s="51"/>
      <c r="L460" s="190"/>
      <c r="M460" s="191"/>
      <c r="N460" s="192"/>
      <c r="O460" s="188"/>
      <c r="P460" s="189"/>
      <c r="Q460" s="186"/>
      <c r="R460" s="187"/>
    </row>
    <row r="461" spans="2:18">
      <c r="B461" s="185"/>
      <c r="C461" s="186"/>
      <c r="D461" s="187"/>
      <c r="E461" s="188"/>
      <c r="F461" s="189"/>
      <c r="G461" s="186"/>
      <c r="H461" s="187"/>
      <c r="I461" s="186"/>
      <c r="J461" s="187"/>
      <c r="K461" s="51"/>
      <c r="L461" s="190"/>
      <c r="M461" s="191"/>
      <c r="N461" s="192"/>
      <c r="O461" s="188"/>
      <c r="P461" s="189"/>
      <c r="Q461" s="186"/>
      <c r="R461" s="187"/>
    </row>
    <row r="462" spans="2:18">
      <c r="B462" s="185"/>
      <c r="C462" s="186"/>
      <c r="D462" s="187"/>
      <c r="E462" s="188"/>
      <c r="F462" s="189"/>
      <c r="G462" s="186"/>
      <c r="H462" s="187"/>
      <c r="I462" s="186"/>
      <c r="J462" s="187"/>
      <c r="K462" s="51"/>
      <c r="L462" s="190"/>
      <c r="M462" s="191"/>
      <c r="N462" s="192"/>
      <c r="O462" s="188"/>
      <c r="P462" s="189"/>
      <c r="Q462" s="186"/>
      <c r="R462" s="187"/>
    </row>
    <row r="463" spans="2:18">
      <c r="B463" s="185"/>
      <c r="C463" s="186"/>
      <c r="D463" s="187"/>
      <c r="E463" s="188"/>
      <c r="F463" s="189"/>
      <c r="G463" s="186"/>
      <c r="H463" s="187"/>
      <c r="I463" s="186"/>
      <c r="J463" s="187"/>
      <c r="K463" s="51"/>
      <c r="L463" s="190"/>
      <c r="M463" s="191"/>
      <c r="N463" s="192"/>
      <c r="O463" s="188"/>
      <c r="P463" s="189"/>
      <c r="Q463" s="186"/>
      <c r="R463" s="187"/>
    </row>
    <row r="464" spans="2:18">
      <c r="B464" s="185"/>
      <c r="C464" s="186"/>
      <c r="D464" s="187"/>
      <c r="E464" s="188"/>
      <c r="F464" s="189"/>
      <c r="G464" s="186"/>
      <c r="H464" s="187"/>
      <c r="I464" s="186"/>
      <c r="J464" s="187"/>
      <c r="K464" s="51"/>
      <c r="L464" s="190"/>
      <c r="M464" s="191"/>
      <c r="N464" s="192"/>
      <c r="O464" s="188"/>
      <c r="P464" s="189"/>
      <c r="Q464" s="186"/>
      <c r="R464" s="187"/>
    </row>
    <row r="465" spans="2:18">
      <c r="B465" s="185"/>
      <c r="C465" s="186"/>
      <c r="D465" s="187"/>
      <c r="E465" s="188"/>
      <c r="F465" s="189"/>
      <c r="G465" s="186"/>
      <c r="H465" s="187"/>
      <c r="I465" s="186"/>
      <c r="J465" s="187"/>
      <c r="K465" s="51"/>
      <c r="L465" s="190"/>
      <c r="M465" s="191"/>
      <c r="N465" s="192"/>
      <c r="O465" s="188"/>
      <c r="P465" s="189"/>
      <c r="Q465" s="186"/>
      <c r="R465" s="187"/>
    </row>
    <row r="466" spans="2:18">
      <c r="B466" s="185"/>
      <c r="C466" s="186"/>
      <c r="D466" s="187"/>
      <c r="E466" s="188"/>
      <c r="F466" s="189"/>
      <c r="G466" s="186"/>
      <c r="H466" s="187"/>
      <c r="I466" s="186"/>
      <c r="J466" s="187"/>
      <c r="K466" s="51"/>
      <c r="L466" s="190"/>
      <c r="M466" s="191"/>
      <c r="N466" s="192"/>
      <c r="O466" s="188"/>
      <c r="P466" s="189"/>
      <c r="Q466" s="186"/>
      <c r="R466" s="187"/>
    </row>
    <row r="467" spans="2:18">
      <c r="B467" s="185"/>
      <c r="C467" s="186"/>
      <c r="D467" s="187"/>
      <c r="E467" s="188"/>
      <c r="F467" s="189"/>
      <c r="G467" s="186"/>
      <c r="H467" s="187"/>
      <c r="I467" s="186"/>
      <c r="J467" s="187"/>
      <c r="K467" s="51"/>
      <c r="L467" s="190"/>
      <c r="M467" s="191"/>
      <c r="N467" s="192"/>
      <c r="O467" s="188"/>
      <c r="P467" s="189"/>
      <c r="Q467" s="186"/>
      <c r="R467" s="187"/>
    </row>
    <row r="468" spans="2:18">
      <c r="B468" s="185"/>
      <c r="C468" s="186"/>
      <c r="D468" s="187"/>
      <c r="E468" s="188"/>
      <c r="F468" s="189"/>
      <c r="G468" s="186"/>
      <c r="H468" s="187"/>
      <c r="I468" s="186"/>
      <c r="J468" s="187"/>
      <c r="K468" s="51"/>
      <c r="L468" s="190"/>
      <c r="M468" s="191"/>
      <c r="N468" s="192"/>
      <c r="O468" s="188"/>
      <c r="P468" s="189"/>
      <c r="Q468" s="186"/>
      <c r="R468" s="187"/>
    </row>
    <row r="469" spans="2:18">
      <c r="B469" s="185"/>
      <c r="C469" s="186"/>
      <c r="D469" s="187"/>
      <c r="E469" s="188"/>
      <c r="F469" s="189"/>
      <c r="G469" s="186"/>
      <c r="H469" s="187"/>
      <c r="I469" s="186"/>
      <c r="J469" s="187"/>
      <c r="K469" s="51"/>
      <c r="L469" s="190"/>
      <c r="M469" s="191"/>
      <c r="N469" s="192"/>
      <c r="O469" s="188"/>
      <c r="P469" s="189"/>
      <c r="Q469" s="186"/>
      <c r="R469" s="187"/>
    </row>
    <row r="470" spans="2:18">
      <c r="B470" s="185"/>
      <c r="C470" s="186"/>
      <c r="D470" s="187"/>
      <c r="E470" s="188"/>
      <c r="F470" s="189"/>
      <c r="G470" s="186"/>
      <c r="H470" s="187"/>
      <c r="I470" s="186"/>
      <c r="J470" s="187"/>
      <c r="K470" s="51"/>
      <c r="L470" s="190"/>
      <c r="M470" s="191"/>
      <c r="N470" s="192"/>
      <c r="O470" s="188"/>
      <c r="P470" s="189"/>
      <c r="Q470" s="186"/>
      <c r="R470" s="187"/>
    </row>
    <row r="471" spans="2:18">
      <c r="B471" s="185"/>
      <c r="C471" s="186"/>
      <c r="D471" s="187"/>
      <c r="E471" s="188"/>
      <c r="F471" s="189"/>
      <c r="G471" s="186"/>
      <c r="H471" s="187"/>
      <c r="I471" s="186"/>
      <c r="J471" s="187"/>
      <c r="K471" s="51"/>
      <c r="L471" s="190"/>
      <c r="M471" s="191"/>
      <c r="N471" s="192"/>
      <c r="O471" s="188"/>
      <c r="P471" s="189"/>
      <c r="Q471" s="186"/>
      <c r="R471" s="187"/>
    </row>
    <row r="472" spans="2:18">
      <c r="B472" s="185"/>
      <c r="C472" s="186"/>
      <c r="D472" s="187"/>
      <c r="E472" s="188"/>
      <c r="F472" s="189"/>
      <c r="G472" s="186"/>
      <c r="H472" s="187"/>
      <c r="I472" s="186"/>
      <c r="J472" s="187"/>
      <c r="K472" s="51"/>
      <c r="L472" s="190"/>
      <c r="M472" s="191"/>
      <c r="N472" s="192"/>
      <c r="O472" s="188"/>
      <c r="P472" s="189"/>
      <c r="Q472" s="186"/>
      <c r="R472" s="187"/>
    </row>
    <row r="473" spans="2:18">
      <c r="B473" s="185"/>
      <c r="C473" s="186"/>
      <c r="D473" s="187"/>
      <c r="E473" s="188"/>
      <c r="F473" s="189"/>
      <c r="G473" s="186"/>
      <c r="H473" s="187"/>
      <c r="I473" s="186"/>
      <c r="J473" s="187"/>
      <c r="K473" s="51"/>
      <c r="L473" s="190"/>
      <c r="M473" s="191"/>
      <c r="N473" s="192"/>
      <c r="O473" s="188"/>
      <c r="P473" s="189"/>
      <c r="Q473" s="186"/>
      <c r="R473" s="187"/>
    </row>
    <row r="474" spans="2:18">
      <c r="B474" s="185"/>
      <c r="C474" s="186"/>
      <c r="D474" s="187"/>
      <c r="E474" s="188"/>
      <c r="F474" s="189"/>
      <c r="G474" s="186"/>
      <c r="H474" s="187"/>
      <c r="I474" s="186"/>
      <c r="J474" s="187"/>
      <c r="K474" s="51"/>
      <c r="L474" s="190"/>
      <c r="M474" s="191"/>
      <c r="N474" s="192"/>
      <c r="O474" s="188"/>
      <c r="P474" s="189"/>
      <c r="Q474" s="186"/>
      <c r="R474" s="187"/>
    </row>
    <row r="475" spans="2:18">
      <c r="B475" s="185"/>
      <c r="C475" s="186"/>
      <c r="D475" s="187"/>
      <c r="E475" s="188"/>
      <c r="F475" s="189"/>
      <c r="G475" s="186"/>
      <c r="H475" s="187"/>
      <c r="I475" s="186"/>
      <c r="J475" s="187"/>
      <c r="K475" s="51"/>
      <c r="L475" s="190"/>
      <c r="M475" s="191"/>
      <c r="N475" s="192"/>
      <c r="O475" s="188"/>
      <c r="P475" s="189"/>
      <c r="Q475" s="186"/>
      <c r="R475" s="187"/>
    </row>
    <row r="476" spans="2:18">
      <c r="B476" s="185"/>
      <c r="C476" s="186"/>
      <c r="D476" s="187"/>
      <c r="E476" s="188"/>
      <c r="F476" s="189"/>
      <c r="G476" s="186"/>
      <c r="H476" s="187"/>
      <c r="I476" s="186"/>
      <c r="J476" s="187"/>
      <c r="K476" s="51"/>
      <c r="L476" s="190"/>
      <c r="M476" s="191"/>
      <c r="N476" s="192"/>
      <c r="O476" s="188"/>
      <c r="P476" s="189"/>
      <c r="Q476" s="186"/>
      <c r="R476" s="187"/>
    </row>
    <row r="477" spans="2:18">
      <c r="B477" s="185"/>
      <c r="C477" s="186"/>
      <c r="D477" s="187"/>
      <c r="E477" s="188"/>
      <c r="F477" s="189"/>
      <c r="G477" s="186"/>
      <c r="H477" s="187"/>
      <c r="I477" s="186"/>
      <c r="J477" s="187"/>
      <c r="K477" s="51"/>
      <c r="L477" s="190"/>
      <c r="M477" s="191"/>
      <c r="N477" s="192"/>
      <c r="O477" s="188"/>
      <c r="P477" s="189"/>
      <c r="Q477" s="186"/>
      <c r="R477" s="187"/>
    </row>
    <row r="478" spans="2:18">
      <c r="B478" s="185"/>
      <c r="C478" s="186"/>
      <c r="D478" s="187"/>
      <c r="E478" s="188"/>
      <c r="F478" s="189"/>
      <c r="G478" s="186"/>
      <c r="H478" s="187"/>
      <c r="I478" s="186"/>
      <c r="J478" s="187"/>
      <c r="K478" s="51"/>
      <c r="L478" s="190"/>
      <c r="M478" s="191"/>
      <c r="N478" s="192"/>
      <c r="O478" s="188"/>
      <c r="P478" s="189"/>
      <c r="Q478" s="186"/>
      <c r="R478" s="187"/>
    </row>
    <row r="479" spans="2:18">
      <c r="B479" s="185"/>
      <c r="C479" s="186"/>
      <c r="D479" s="187"/>
      <c r="E479" s="188"/>
      <c r="F479" s="189"/>
      <c r="G479" s="186"/>
      <c r="H479" s="187"/>
      <c r="I479" s="186"/>
      <c r="J479" s="187"/>
      <c r="K479" s="51"/>
      <c r="L479" s="190"/>
      <c r="M479" s="191"/>
      <c r="N479" s="192"/>
      <c r="O479" s="188"/>
      <c r="P479" s="189"/>
      <c r="Q479" s="186"/>
      <c r="R479" s="187"/>
    </row>
    <row r="480" spans="2:18">
      <c r="B480" s="185"/>
      <c r="C480" s="186"/>
      <c r="D480" s="187"/>
      <c r="E480" s="188"/>
      <c r="F480" s="189"/>
      <c r="G480" s="186"/>
      <c r="H480" s="187"/>
      <c r="I480" s="186"/>
      <c r="J480" s="187"/>
      <c r="K480" s="51"/>
      <c r="L480" s="190"/>
      <c r="M480" s="191"/>
      <c r="N480" s="192"/>
      <c r="O480" s="188"/>
      <c r="P480" s="189"/>
      <c r="Q480" s="186"/>
      <c r="R480" s="187"/>
    </row>
    <row r="481" spans="2:18">
      <c r="B481" s="185"/>
      <c r="C481" s="186"/>
      <c r="D481" s="187"/>
      <c r="E481" s="188"/>
      <c r="F481" s="189"/>
      <c r="G481" s="186"/>
      <c r="H481" s="187"/>
      <c r="I481" s="186"/>
      <c r="J481" s="187"/>
      <c r="K481" s="51"/>
      <c r="L481" s="190"/>
      <c r="M481" s="191"/>
      <c r="N481" s="192"/>
      <c r="O481" s="188"/>
      <c r="P481" s="189"/>
      <c r="Q481" s="186"/>
      <c r="R481" s="187"/>
    </row>
    <row r="482" spans="2:18">
      <c r="B482" s="185"/>
      <c r="C482" s="186"/>
      <c r="D482" s="187"/>
      <c r="E482" s="188"/>
      <c r="F482" s="189"/>
      <c r="G482" s="186"/>
      <c r="H482" s="187"/>
      <c r="I482" s="186"/>
      <c r="J482" s="187"/>
      <c r="K482" s="51"/>
      <c r="L482" s="190"/>
      <c r="M482" s="191"/>
      <c r="N482" s="192"/>
      <c r="O482" s="188"/>
      <c r="P482" s="189"/>
      <c r="Q482" s="186"/>
      <c r="R482" s="187"/>
    </row>
    <row r="483" spans="2:18">
      <c r="B483" s="185"/>
      <c r="C483" s="186"/>
      <c r="D483" s="187"/>
      <c r="E483" s="188"/>
      <c r="F483" s="189"/>
      <c r="G483" s="186"/>
      <c r="H483" s="187"/>
      <c r="I483" s="186"/>
      <c r="J483" s="187"/>
      <c r="K483" s="51"/>
      <c r="L483" s="190"/>
      <c r="M483" s="191"/>
      <c r="N483" s="192"/>
      <c r="O483" s="188"/>
      <c r="P483" s="189"/>
      <c r="Q483" s="186"/>
      <c r="R483" s="187"/>
    </row>
    <row r="484" spans="2:18">
      <c r="B484" s="185"/>
      <c r="C484" s="186"/>
      <c r="D484" s="187"/>
      <c r="E484" s="188"/>
      <c r="F484" s="189"/>
      <c r="G484" s="186"/>
      <c r="H484" s="187"/>
      <c r="I484" s="186"/>
      <c r="J484" s="187"/>
      <c r="K484" s="51"/>
      <c r="L484" s="190"/>
      <c r="M484" s="191"/>
      <c r="N484" s="192"/>
      <c r="O484" s="188"/>
      <c r="P484" s="189"/>
      <c r="Q484" s="186"/>
      <c r="R484" s="187"/>
    </row>
    <row r="485" spans="2:18">
      <c r="B485" s="185"/>
      <c r="C485" s="186"/>
      <c r="D485" s="187"/>
      <c r="E485" s="188"/>
      <c r="F485" s="189"/>
      <c r="G485" s="186"/>
      <c r="H485" s="187"/>
      <c r="I485" s="186"/>
      <c r="J485" s="187"/>
      <c r="K485" s="51"/>
      <c r="L485" s="190"/>
      <c r="M485" s="191"/>
      <c r="N485" s="192"/>
      <c r="O485" s="188"/>
      <c r="P485" s="189"/>
      <c r="Q485" s="186"/>
      <c r="R485" s="187"/>
    </row>
    <row r="486" spans="2:18">
      <c r="B486" s="185"/>
      <c r="C486" s="186"/>
      <c r="D486" s="187"/>
      <c r="E486" s="188"/>
      <c r="F486" s="189"/>
      <c r="G486" s="186"/>
      <c r="H486" s="187"/>
      <c r="I486" s="186"/>
      <c r="J486" s="187"/>
      <c r="K486" s="51"/>
      <c r="L486" s="190"/>
      <c r="M486" s="191"/>
      <c r="N486" s="192"/>
      <c r="O486" s="188"/>
      <c r="P486" s="189"/>
      <c r="Q486" s="186"/>
      <c r="R486" s="187"/>
    </row>
    <row r="487" spans="2:18">
      <c r="B487" s="185"/>
      <c r="C487" s="186"/>
      <c r="D487" s="187"/>
      <c r="E487" s="188"/>
      <c r="F487" s="189"/>
      <c r="G487" s="186"/>
      <c r="H487" s="187"/>
      <c r="I487" s="186"/>
      <c r="J487" s="187"/>
      <c r="K487" s="51"/>
      <c r="L487" s="190"/>
      <c r="M487" s="191"/>
      <c r="N487" s="192"/>
      <c r="O487" s="188"/>
      <c r="P487" s="189"/>
      <c r="Q487" s="186"/>
      <c r="R487" s="187"/>
    </row>
    <row r="488" spans="2:18">
      <c r="B488" s="185"/>
      <c r="C488" s="186"/>
      <c r="D488" s="187"/>
      <c r="E488" s="188"/>
      <c r="F488" s="189"/>
      <c r="G488" s="186"/>
      <c r="H488" s="187"/>
      <c r="I488" s="186"/>
      <c r="J488" s="187"/>
      <c r="K488" s="51"/>
      <c r="L488" s="190"/>
      <c r="M488" s="191"/>
      <c r="N488" s="192"/>
      <c r="O488" s="188"/>
      <c r="P488" s="189"/>
      <c r="Q488" s="186"/>
      <c r="R488" s="187"/>
    </row>
    <row r="489" spans="2:18">
      <c r="B489" s="185"/>
      <c r="C489" s="186"/>
      <c r="D489" s="187"/>
      <c r="E489" s="188"/>
      <c r="F489" s="189"/>
      <c r="G489" s="186"/>
      <c r="H489" s="187"/>
      <c r="I489" s="186"/>
      <c r="J489" s="187"/>
      <c r="K489" s="51"/>
      <c r="L489" s="190"/>
      <c r="M489" s="191"/>
      <c r="N489" s="192"/>
      <c r="O489" s="188"/>
      <c r="P489" s="189"/>
      <c r="Q489" s="186"/>
      <c r="R489" s="187"/>
    </row>
    <row r="490" spans="2:18">
      <c r="B490" s="185"/>
      <c r="C490" s="186"/>
      <c r="D490" s="187"/>
      <c r="E490" s="188"/>
      <c r="F490" s="189"/>
      <c r="G490" s="186"/>
      <c r="H490" s="187"/>
      <c r="I490" s="186"/>
      <c r="J490" s="187"/>
      <c r="K490" s="51"/>
      <c r="L490" s="190"/>
      <c r="M490" s="191"/>
      <c r="N490" s="192"/>
      <c r="O490" s="188"/>
      <c r="P490" s="189"/>
      <c r="Q490" s="186"/>
      <c r="R490" s="187"/>
    </row>
    <row r="491" spans="2:18">
      <c r="B491" s="185"/>
      <c r="C491" s="186"/>
      <c r="D491" s="187"/>
      <c r="E491" s="188"/>
      <c r="F491" s="189"/>
      <c r="G491" s="186"/>
      <c r="H491" s="187"/>
      <c r="I491" s="186"/>
      <c r="J491" s="187"/>
      <c r="K491" s="51"/>
      <c r="L491" s="190"/>
      <c r="M491" s="191"/>
      <c r="N491" s="192"/>
      <c r="O491" s="188"/>
      <c r="P491" s="189"/>
      <c r="Q491" s="186"/>
      <c r="R491" s="187"/>
    </row>
    <row r="492" spans="2:18">
      <c r="B492" s="185"/>
      <c r="C492" s="186"/>
      <c r="D492" s="187"/>
      <c r="E492" s="188"/>
      <c r="F492" s="189"/>
      <c r="G492" s="186"/>
      <c r="H492" s="187"/>
      <c r="I492" s="186"/>
      <c r="J492" s="187"/>
      <c r="K492" s="51"/>
      <c r="L492" s="190"/>
      <c r="M492" s="191"/>
      <c r="N492" s="192"/>
      <c r="O492" s="188"/>
      <c r="P492" s="189"/>
      <c r="Q492" s="186"/>
      <c r="R492" s="187"/>
    </row>
    <row r="493" spans="2:18">
      <c r="B493" s="185"/>
      <c r="C493" s="186"/>
      <c r="D493" s="187"/>
      <c r="E493" s="188"/>
      <c r="F493" s="189"/>
      <c r="G493" s="186"/>
      <c r="H493" s="187"/>
      <c r="I493" s="186"/>
      <c r="J493" s="187"/>
      <c r="K493" s="51"/>
      <c r="L493" s="190"/>
      <c r="M493" s="191"/>
      <c r="N493" s="192"/>
      <c r="O493" s="188"/>
      <c r="P493" s="189"/>
      <c r="Q493" s="186"/>
      <c r="R493" s="187"/>
    </row>
    <row r="494" spans="2:18">
      <c r="B494" s="185"/>
      <c r="C494" s="186"/>
      <c r="D494" s="187"/>
      <c r="E494" s="188"/>
      <c r="F494" s="189"/>
      <c r="G494" s="186"/>
      <c r="H494" s="187"/>
      <c r="I494" s="186"/>
      <c r="J494" s="187"/>
      <c r="K494" s="51"/>
      <c r="L494" s="190"/>
      <c r="M494" s="191"/>
      <c r="N494" s="192"/>
      <c r="O494" s="188"/>
      <c r="P494" s="189"/>
      <c r="Q494" s="186"/>
      <c r="R494" s="187"/>
    </row>
    <row r="495" spans="2:18">
      <c r="B495" s="185"/>
      <c r="C495" s="186"/>
      <c r="D495" s="187"/>
      <c r="E495" s="188"/>
      <c r="F495" s="189"/>
      <c r="G495" s="186"/>
      <c r="H495" s="187"/>
      <c r="I495" s="186"/>
      <c r="J495" s="187"/>
      <c r="K495" s="51"/>
      <c r="L495" s="190"/>
      <c r="M495" s="191"/>
      <c r="N495" s="192"/>
      <c r="O495" s="188"/>
      <c r="P495" s="189"/>
      <c r="Q495" s="186"/>
      <c r="R495" s="187"/>
    </row>
    <row r="496" spans="2:18">
      <c r="B496" s="185"/>
      <c r="C496" s="186"/>
      <c r="D496" s="187"/>
      <c r="E496" s="188"/>
      <c r="F496" s="189"/>
      <c r="G496" s="186"/>
      <c r="H496" s="187"/>
      <c r="I496" s="186"/>
      <c r="J496" s="187"/>
      <c r="K496" s="51"/>
      <c r="L496" s="190"/>
      <c r="M496" s="191"/>
      <c r="N496" s="192"/>
      <c r="O496" s="188"/>
      <c r="P496" s="189"/>
      <c r="Q496" s="186"/>
      <c r="R496" s="187"/>
    </row>
    <row r="497" spans="2:18">
      <c r="B497" s="185"/>
      <c r="C497" s="186"/>
      <c r="D497" s="187"/>
      <c r="E497" s="188"/>
      <c r="F497" s="189"/>
      <c r="G497" s="186"/>
      <c r="H497" s="187"/>
      <c r="I497" s="186"/>
      <c r="J497" s="187"/>
      <c r="K497" s="51"/>
      <c r="L497" s="190"/>
      <c r="M497" s="191"/>
      <c r="N497" s="192"/>
      <c r="O497" s="188"/>
      <c r="P497" s="189"/>
      <c r="Q497" s="186"/>
      <c r="R497" s="187"/>
    </row>
    <row r="498" spans="2:18">
      <c r="B498" s="185"/>
      <c r="C498" s="186"/>
      <c r="D498" s="187"/>
      <c r="E498" s="188"/>
      <c r="F498" s="189"/>
      <c r="G498" s="186"/>
      <c r="H498" s="187"/>
      <c r="I498" s="186"/>
      <c r="J498" s="187"/>
      <c r="K498" s="51"/>
      <c r="L498" s="190"/>
      <c r="M498" s="191"/>
      <c r="N498" s="192"/>
      <c r="O498" s="188"/>
      <c r="P498" s="189"/>
      <c r="Q498" s="186"/>
      <c r="R498" s="187"/>
    </row>
    <row r="499" spans="2:18">
      <c r="B499" s="185"/>
      <c r="C499" s="186"/>
      <c r="D499" s="187"/>
      <c r="E499" s="188"/>
      <c r="F499" s="189"/>
      <c r="G499" s="186"/>
      <c r="H499" s="187"/>
      <c r="I499" s="186"/>
      <c r="J499" s="187"/>
      <c r="K499" s="51"/>
      <c r="L499" s="190"/>
      <c r="M499" s="191"/>
      <c r="N499" s="192"/>
      <c r="O499" s="188"/>
      <c r="P499" s="189"/>
      <c r="Q499" s="186"/>
      <c r="R499" s="187"/>
    </row>
    <row r="500" spans="2:18">
      <c r="B500" s="185"/>
      <c r="C500" s="186"/>
      <c r="D500" s="187"/>
      <c r="E500" s="188"/>
      <c r="F500" s="189"/>
      <c r="G500" s="186"/>
      <c r="H500" s="187"/>
      <c r="I500" s="186"/>
      <c r="J500" s="187"/>
      <c r="K500" s="51"/>
      <c r="L500" s="190"/>
      <c r="M500" s="191"/>
      <c r="N500" s="192"/>
      <c r="O500" s="188"/>
      <c r="P500" s="189"/>
      <c r="Q500" s="186"/>
      <c r="R500" s="187"/>
    </row>
    <row r="501" spans="2:18">
      <c r="B501" s="185"/>
      <c r="C501" s="186"/>
      <c r="D501" s="187"/>
      <c r="E501" s="188"/>
      <c r="F501" s="189"/>
      <c r="G501" s="186"/>
      <c r="H501" s="187"/>
      <c r="I501" s="186"/>
      <c r="J501" s="187"/>
      <c r="K501" s="51"/>
      <c r="L501" s="190"/>
      <c r="M501" s="191"/>
      <c r="N501" s="192"/>
      <c r="O501" s="188"/>
      <c r="P501" s="189"/>
      <c r="Q501" s="186"/>
      <c r="R501" s="187"/>
    </row>
    <row r="502" spans="2:18">
      <c r="B502" s="185"/>
      <c r="C502" s="186"/>
      <c r="D502" s="187"/>
      <c r="E502" s="188"/>
      <c r="F502" s="189"/>
      <c r="G502" s="186"/>
      <c r="H502" s="187"/>
      <c r="I502" s="186"/>
      <c r="J502" s="187"/>
      <c r="K502" s="51"/>
      <c r="L502" s="190"/>
      <c r="M502" s="191"/>
      <c r="N502" s="192"/>
      <c r="O502" s="188"/>
      <c r="P502" s="189"/>
      <c r="Q502" s="186"/>
      <c r="R502" s="187"/>
    </row>
    <row r="503" spans="2:18">
      <c r="B503" s="185"/>
      <c r="C503" s="186"/>
      <c r="D503" s="187"/>
      <c r="E503" s="188"/>
      <c r="F503" s="189"/>
      <c r="G503" s="186"/>
      <c r="H503" s="187"/>
      <c r="I503" s="186"/>
      <c r="J503" s="187"/>
      <c r="K503" s="51"/>
      <c r="L503" s="190"/>
      <c r="M503" s="191"/>
      <c r="N503" s="192"/>
      <c r="O503" s="188"/>
      <c r="P503" s="189"/>
      <c r="Q503" s="186"/>
      <c r="R503" s="187"/>
    </row>
    <row r="504" spans="2:18">
      <c r="B504" s="185"/>
      <c r="C504" s="186"/>
      <c r="D504" s="187"/>
      <c r="E504" s="188"/>
      <c r="F504" s="189"/>
      <c r="G504" s="186"/>
      <c r="H504" s="187"/>
      <c r="I504" s="186"/>
      <c r="J504" s="187"/>
      <c r="K504" s="51"/>
      <c r="L504" s="190"/>
      <c r="M504" s="191"/>
      <c r="N504" s="192"/>
      <c r="O504" s="188"/>
      <c r="P504" s="189"/>
      <c r="Q504" s="186"/>
      <c r="R504" s="187"/>
    </row>
    <row r="505" spans="2:18">
      <c r="B505" s="185"/>
      <c r="C505" s="186"/>
      <c r="D505" s="187"/>
      <c r="E505" s="188"/>
      <c r="F505" s="189"/>
      <c r="G505" s="186"/>
      <c r="H505" s="187"/>
      <c r="I505" s="186"/>
      <c r="J505" s="187"/>
      <c r="K505" s="51"/>
      <c r="L505" s="190"/>
      <c r="M505" s="191"/>
      <c r="N505" s="192"/>
      <c r="O505" s="188"/>
      <c r="P505" s="189"/>
      <c r="Q505" s="186"/>
      <c r="R505" s="187"/>
    </row>
    <row r="506" spans="2:18">
      <c r="B506" s="185"/>
      <c r="C506" s="186"/>
      <c r="D506" s="187"/>
      <c r="E506" s="188"/>
      <c r="F506" s="189"/>
      <c r="G506" s="186"/>
      <c r="H506" s="187"/>
      <c r="I506" s="186"/>
      <c r="J506" s="187"/>
      <c r="K506" s="51"/>
      <c r="L506" s="190"/>
      <c r="M506" s="191"/>
      <c r="N506" s="192"/>
      <c r="O506" s="188"/>
      <c r="P506" s="189"/>
      <c r="Q506" s="186"/>
      <c r="R506" s="187"/>
    </row>
    <row r="507" spans="2:18">
      <c r="B507" s="185"/>
      <c r="C507" s="186"/>
      <c r="D507" s="187"/>
      <c r="E507" s="188"/>
      <c r="F507" s="189"/>
      <c r="G507" s="186"/>
      <c r="H507" s="187"/>
      <c r="I507" s="186"/>
      <c r="J507" s="187"/>
      <c r="K507" s="51"/>
      <c r="L507" s="190"/>
      <c r="M507" s="191"/>
      <c r="N507" s="192"/>
      <c r="O507" s="188"/>
      <c r="P507" s="189"/>
      <c r="Q507" s="186"/>
      <c r="R507" s="187"/>
    </row>
    <row r="508" spans="2:18">
      <c r="B508" s="185"/>
      <c r="C508" s="186"/>
      <c r="D508" s="187"/>
      <c r="E508" s="188"/>
      <c r="F508" s="189"/>
      <c r="G508" s="186"/>
      <c r="H508" s="187"/>
      <c r="I508" s="186"/>
      <c r="J508" s="187"/>
      <c r="K508" s="51"/>
      <c r="L508" s="190"/>
      <c r="M508" s="191"/>
      <c r="N508" s="192"/>
      <c r="O508" s="188"/>
      <c r="P508" s="189"/>
      <c r="Q508" s="186"/>
      <c r="R508" s="187"/>
    </row>
    <row r="509" spans="2:18">
      <c r="B509" s="185"/>
      <c r="C509" s="186"/>
      <c r="D509" s="187"/>
      <c r="E509" s="188"/>
      <c r="F509" s="189"/>
      <c r="G509" s="186"/>
      <c r="H509" s="187"/>
      <c r="I509" s="186"/>
      <c r="J509" s="187"/>
      <c r="K509" s="51"/>
      <c r="L509" s="190"/>
      <c r="M509" s="191"/>
      <c r="N509" s="192"/>
      <c r="O509" s="188"/>
      <c r="P509" s="189"/>
      <c r="Q509" s="186"/>
      <c r="R509" s="187"/>
    </row>
    <row r="510" spans="2:18">
      <c r="B510" s="185"/>
      <c r="C510" s="186"/>
      <c r="D510" s="187"/>
      <c r="E510" s="188"/>
      <c r="F510" s="189"/>
      <c r="G510" s="186"/>
      <c r="H510" s="187"/>
      <c r="I510" s="186"/>
      <c r="J510" s="187"/>
      <c r="K510" s="51"/>
      <c r="L510" s="190"/>
      <c r="M510" s="191"/>
      <c r="N510" s="192"/>
      <c r="O510" s="188"/>
      <c r="P510" s="189"/>
      <c r="Q510" s="186"/>
      <c r="R510" s="187"/>
    </row>
    <row r="511" spans="2:18">
      <c r="B511" s="185"/>
      <c r="C511" s="186"/>
      <c r="D511" s="187"/>
      <c r="E511" s="188"/>
      <c r="F511" s="189"/>
      <c r="G511" s="186"/>
      <c r="H511" s="187"/>
      <c r="I511" s="186"/>
      <c r="J511" s="187"/>
      <c r="K511" s="51"/>
      <c r="L511" s="190"/>
      <c r="M511" s="191"/>
      <c r="N511" s="192"/>
      <c r="O511" s="188"/>
      <c r="P511" s="189"/>
      <c r="Q511" s="186"/>
      <c r="R511" s="187"/>
    </row>
    <row r="512" spans="2:18">
      <c r="B512" s="185"/>
      <c r="C512" s="186"/>
      <c r="D512" s="187"/>
      <c r="E512" s="188"/>
      <c r="F512" s="189"/>
      <c r="G512" s="186"/>
      <c r="H512" s="187"/>
      <c r="I512" s="186"/>
      <c r="J512" s="187"/>
      <c r="K512" s="51"/>
      <c r="L512" s="190"/>
      <c r="M512" s="191"/>
      <c r="N512" s="192"/>
      <c r="O512" s="188"/>
      <c r="P512" s="189"/>
      <c r="Q512" s="186"/>
      <c r="R512" s="187"/>
    </row>
    <row r="513" spans="2:18">
      <c r="B513" s="185"/>
      <c r="C513" s="186"/>
      <c r="D513" s="187"/>
      <c r="E513" s="188"/>
      <c r="F513" s="189"/>
      <c r="G513" s="186"/>
      <c r="H513" s="187"/>
      <c r="I513" s="186"/>
      <c r="J513" s="187"/>
      <c r="K513" s="51"/>
      <c r="L513" s="190"/>
      <c r="M513" s="191"/>
      <c r="N513" s="192"/>
      <c r="O513" s="188"/>
      <c r="P513" s="189"/>
      <c r="Q513" s="186"/>
      <c r="R513" s="187"/>
    </row>
    <row r="514" spans="2:18">
      <c r="B514" s="185"/>
      <c r="C514" s="186"/>
      <c r="D514" s="187"/>
      <c r="E514" s="188"/>
      <c r="F514" s="189"/>
      <c r="G514" s="186"/>
      <c r="H514" s="187"/>
      <c r="I514" s="186"/>
      <c r="J514" s="187"/>
      <c r="K514" s="51"/>
      <c r="L514" s="190"/>
      <c r="M514" s="191"/>
      <c r="N514" s="192"/>
      <c r="O514" s="188"/>
      <c r="P514" s="189"/>
      <c r="Q514" s="186"/>
      <c r="R514" s="187"/>
    </row>
    <row r="515" spans="2:18">
      <c r="B515" s="185"/>
      <c r="C515" s="186"/>
      <c r="D515" s="187"/>
      <c r="E515" s="188"/>
      <c r="F515" s="189"/>
      <c r="G515" s="186"/>
      <c r="H515" s="187"/>
      <c r="I515" s="186"/>
      <c r="J515" s="187"/>
      <c r="K515" s="51"/>
      <c r="L515" s="190"/>
      <c r="M515" s="191"/>
      <c r="N515" s="192"/>
      <c r="O515" s="188"/>
      <c r="P515" s="189"/>
      <c r="Q515" s="186"/>
      <c r="R515" s="187"/>
    </row>
    <row r="516" spans="2:18">
      <c r="B516" s="185"/>
      <c r="C516" s="186"/>
      <c r="D516" s="187"/>
      <c r="E516" s="188"/>
      <c r="F516" s="189"/>
      <c r="G516" s="186"/>
      <c r="H516" s="187"/>
      <c r="I516" s="186"/>
      <c r="J516" s="187"/>
      <c r="K516" s="51"/>
      <c r="L516" s="190"/>
      <c r="M516" s="191"/>
      <c r="N516" s="192"/>
      <c r="O516" s="188"/>
      <c r="P516" s="189"/>
      <c r="Q516" s="186"/>
      <c r="R516" s="187"/>
    </row>
    <row r="517" spans="2:18">
      <c r="B517" s="185"/>
      <c r="C517" s="186"/>
      <c r="D517" s="187"/>
      <c r="E517" s="188"/>
      <c r="F517" s="189"/>
      <c r="G517" s="186"/>
      <c r="H517" s="187"/>
      <c r="I517" s="186"/>
      <c r="J517" s="187"/>
      <c r="K517" s="51"/>
      <c r="L517" s="190"/>
      <c r="M517" s="191"/>
      <c r="N517" s="192"/>
      <c r="O517" s="188"/>
      <c r="P517" s="189"/>
      <c r="Q517" s="186"/>
      <c r="R517" s="187"/>
    </row>
    <row r="518" spans="2:18">
      <c r="B518" s="185"/>
      <c r="C518" s="186"/>
      <c r="D518" s="187"/>
      <c r="E518" s="188"/>
      <c r="F518" s="189"/>
      <c r="G518" s="186"/>
      <c r="H518" s="187"/>
      <c r="I518" s="186"/>
      <c r="J518" s="187"/>
      <c r="K518" s="51"/>
      <c r="L518" s="190"/>
      <c r="M518" s="191"/>
      <c r="N518" s="192"/>
      <c r="O518" s="188"/>
      <c r="P518" s="189"/>
      <c r="Q518" s="186"/>
      <c r="R518" s="187"/>
    </row>
    <row r="519" spans="2:18">
      <c r="B519" s="185"/>
      <c r="C519" s="186"/>
      <c r="D519" s="187"/>
      <c r="E519" s="188"/>
      <c r="F519" s="189"/>
      <c r="G519" s="186"/>
      <c r="H519" s="187"/>
      <c r="I519" s="186"/>
      <c r="J519" s="187"/>
      <c r="K519" s="51"/>
      <c r="L519" s="190"/>
      <c r="M519" s="191"/>
      <c r="N519" s="192"/>
      <c r="O519" s="188"/>
      <c r="P519" s="189"/>
      <c r="Q519" s="186"/>
      <c r="R519" s="187"/>
    </row>
    <row r="520" spans="2:18">
      <c r="B520" s="185"/>
      <c r="C520" s="186"/>
      <c r="D520" s="187"/>
      <c r="E520" s="188"/>
      <c r="F520" s="189"/>
      <c r="G520" s="186"/>
      <c r="H520" s="187"/>
      <c r="I520" s="186"/>
      <c r="J520" s="187"/>
      <c r="K520" s="51"/>
      <c r="L520" s="190"/>
      <c r="M520" s="191"/>
      <c r="N520" s="192"/>
      <c r="O520" s="188"/>
      <c r="P520" s="189"/>
      <c r="Q520" s="186"/>
      <c r="R520" s="187"/>
    </row>
    <row r="521" spans="2:18">
      <c r="B521" s="185"/>
      <c r="C521" s="186"/>
      <c r="D521" s="187"/>
      <c r="E521" s="188"/>
      <c r="F521" s="189"/>
      <c r="G521" s="186"/>
      <c r="H521" s="187"/>
      <c r="I521" s="186"/>
      <c r="J521" s="187"/>
      <c r="K521" s="51"/>
      <c r="L521" s="190"/>
      <c r="M521" s="191"/>
      <c r="N521" s="192"/>
      <c r="O521" s="188"/>
      <c r="P521" s="189"/>
      <c r="Q521" s="186"/>
      <c r="R521" s="187"/>
    </row>
    <row r="522" spans="2:18">
      <c r="B522" s="185"/>
      <c r="C522" s="186"/>
      <c r="D522" s="187"/>
      <c r="E522" s="188"/>
      <c r="F522" s="189"/>
      <c r="G522" s="186"/>
      <c r="H522" s="187"/>
      <c r="I522" s="186"/>
      <c r="J522" s="187"/>
      <c r="K522" s="51"/>
      <c r="L522" s="190"/>
      <c r="M522" s="191"/>
      <c r="N522" s="192"/>
      <c r="O522" s="188"/>
      <c r="P522" s="189"/>
      <c r="Q522" s="186"/>
      <c r="R522" s="187"/>
    </row>
    <row r="523" spans="2:18">
      <c r="B523" s="185"/>
      <c r="C523" s="186"/>
      <c r="D523" s="187"/>
      <c r="E523" s="188"/>
      <c r="F523" s="189"/>
      <c r="G523" s="186"/>
      <c r="H523" s="187"/>
      <c r="I523" s="186"/>
      <c r="J523" s="187"/>
      <c r="K523" s="51"/>
      <c r="L523" s="190"/>
      <c r="M523" s="191"/>
      <c r="N523" s="192"/>
      <c r="O523" s="188"/>
      <c r="P523" s="189"/>
      <c r="Q523" s="186"/>
      <c r="R523" s="187"/>
    </row>
    <row r="524" spans="2:18">
      <c r="B524" s="185"/>
      <c r="C524" s="186"/>
      <c r="D524" s="187"/>
      <c r="E524" s="188"/>
      <c r="F524" s="189"/>
      <c r="G524" s="186"/>
      <c r="H524" s="187"/>
      <c r="I524" s="186"/>
      <c r="J524" s="187"/>
      <c r="K524" s="51"/>
      <c r="L524" s="190"/>
      <c r="M524" s="191"/>
      <c r="N524" s="192"/>
      <c r="O524" s="188"/>
      <c r="P524" s="189"/>
      <c r="Q524" s="186"/>
      <c r="R524" s="187"/>
    </row>
    <row r="525" spans="2:18">
      <c r="B525" s="185"/>
      <c r="C525" s="186"/>
      <c r="D525" s="187"/>
      <c r="E525" s="188"/>
      <c r="F525" s="189"/>
      <c r="G525" s="186"/>
      <c r="H525" s="187"/>
      <c r="I525" s="186"/>
      <c r="J525" s="187"/>
      <c r="K525" s="51"/>
      <c r="L525" s="190"/>
      <c r="M525" s="191"/>
      <c r="N525" s="192"/>
      <c r="O525" s="188"/>
      <c r="P525" s="189"/>
      <c r="Q525" s="186"/>
      <c r="R525" s="187"/>
    </row>
  </sheetData>
  <mergeCells count="18">
    <mergeCell ref="S3:T3"/>
    <mergeCell ref="S4:T4"/>
    <mergeCell ref="C3:D3"/>
    <mergeCell ref="C4:D4"/>
    <mergeCell ref="E3:F3"/>
    <mergeCell ref="E4:F4"/>
    <mergeCell ref="G3:H3"/>
    <mergeCell ref="G4:H4"/>
    <mergeCell ref="I3:J3"/>
    <mergeCell ref="I4:J4"/>
    <mergeCell ref="Q3:R3"/>
    <mergeCell ref="Q4:R4"/>
    <mergeCell ref="K3:L3"/>
    <mergeCell ref="K4:L4"/>
    <mergeCell ref="M3:N3"/>
    <mergeCell ref="M4:N4"/>
    <mergeCell ref="O3:P3"/>
    <mergeCell ref="O4:P4"/>
  </mergeCells>
  <phoneticPr fontId="0" type="noConversion"/>
  <pageMargins left="0.25" right="0.25" top="1" bottom="1" header="0.5" footer="0.5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1111111121131111111176"/>
  <dimension ref="A1:Z76"/>
  <sheetViews>
    <sheetView showGridLines="0" topLeftCell="A19" zoomScaleNormal="100" zoomScalePageLayoutView="75" workbookViewId="0">
      <selection activeCell="I33" sqref="I33"/>
    </sheetView>
  </sheetViews>
  <sheetFormatPr baseColWidth="10" defaultColWidth="10.25" defaultRowHeight="12.75" customHeight="1"/>
  <cols>
    <col min="1" max="1" width="18.25" style="11" customWidth="1"/>
    <col min="2" max="2" width="15" style="11" customWidth="1"/>
    <col min="3" max="3" width="12.75" style="46" customWidth="1"/>
    <col min="4" max="4" width="13.75" style="11" customWidth="1"/>
    <col min="5" max="5" width="13.25" style="11" customWidth="1"/>
    <col min="6" max="6" width="11.25" style="11" customWidth="1"/>
    <col min="7" max="7" width="6.25" style="11" customWidth="1"/>
    <col min="8" max="8" width="23.75" style="11" customWidth="1"/>
    <col min="9" max="9" width="17" style="11" customWidth="1"/>
    <col min="10" max="10" width="14.25" style="11" customWidth="1"/>
    <col min="11" max="11" width="9.25" style="11" customWidth="1"/>
    <col min="12" max="12" width="8.25" style="41" customWidth="1"/>
    <col min="13" max="13" width="5.25" style="46" customWidth="1"/>
    <col min="14" max="14" width="20.25" style="11" customWidth="1"/>
    <col min="15" max="15" width="5.25" style="43" customWidth="1"/>
    <col min="16" max="16" width="12.75" style="11" customWidth="1"/>
    <col min="17" max="17" width="17" style="11" customWidth="1"/>
    <col min="18" max="18" width="7.25" style="11" customWidth="1"/>
    <col min="19" max="19" width="6.25" style="11" customWidth="1"/>
    <col min="20" max="20" width="7.25" style="11" customWidth="1"/>
    <col min="21" max="16384" width="10.25" style="11"/>
  </cols>
  <sheetData>
    <row r="1" spans="1:21" ht="21.75" customHeight="1" thickTop="1">
      <c r="A1" s="72" t="s">
        <v>1</v>
      </c>
      <c r="B1" s="69"/>
      <c r="C1" s="238" t="s">
        <v>246</v>
      </c>
      <c r="D1" s="71"/>
      <c r="E1" s="4" t="s">
        <v>95</v>
      </c>
      <c r="F1" s="5"/>
      <c r="G1" s="6"/>
      <c r="H1" s="57"/>
      <c r="I1" s="3" t="s">
        <v>2</v>
      </c>
      <c r="J1" s="7">
        <f ca="1">TODAY()</f>
        <v>44049</v>
      </c>
      <c r="K1" s="8"/>
      <c r="L1" s="9"/>
      <c r="M1" s="10"/>
      <c r="N1" s="10"/>
      <c r="O1" s="10"/>
      <c r="P1" s="10"/>
      <c r="Q1" s="10"/>
      <c r="R1" s="10"/>
      <c r="S1" s="10"/>
      <c r="T1" s="10"/>
    </row>
    <row r="2" spans="1:21" ht="19.5" customHeight="1" thickBot="1">
      <c r="A2" s="73" t="s">
        <v>3</v>
      </c>
      <c r="B2" s="70" t="s">
        <v>118</v>
      </c>
      <c r="C2" s="239" t="str">
        <f>C1</f>
        <v>Sample No</v>
      </c>
      <c r="D2" s="12"/>
      <c r="E2" s="13" t="s">
        <v>96</v>
      </c>
      <c r="F2" s="14"/>
      <c r="G2" s="12"/>
      <c r="H2" s="172"/>
      <c r="I2" s="171"/>
      <c r="J2" s="170"/>
      <c r="K2" s="15"/>
      <c r="L2" s="9"/>
      <c r="M2" s="10"/>
      <c r="N2" s="10"/>
      <c r="O2" s="10"/>
      <c r="P2" s="10"/>
      <c r="Q2" s="10"/>
      <c r="R2" s="10"/>
      <c r="S2" s="10"/>
      <c r="T2" s="10"/>
    </row>
    <row r="3" spans="1:21" s="25" customFormat="1" ht="18" customHeight="1" thickTop="1">
      <c r="A3" s="16" t="s">
        <v>4</v>
      </c>
      <c r="B3" s="17"/>
      <c r="C3" s="18"/>
      <c r="D3" s="53"/>
      <c r="E3" s="19" t="s">
        <v>24</v>
      </c>
      <c r="F3" s="20"/>
      <c r="G3" s="20"/>
      <c r="H3" s="21"/>
      <c r="I3" s="21"/>
      <c r="J3" s="21"/>
      <c r="K3" s="22"/>
      <c r="L3" s="23"/>
      <c r="M3" s="24"/>
      <c r="N3" s="24"/>
      <c r="O3" s="24"/>
      <c r="P3" s="24"/>
      <c r="Q3" s="24"/>
      <c r="R3" s="24"/>
      <c r="S3" s="24"/>
      <c r="T3" s="24"/>
    </row>
    <row r="4" spans="1:21" s="25" customFormat="1" ht="15" customHeight="1">
      <c r="A4" s="26"/>
      <c r="B4" s="27"/>
      <c r="C4" s="28" t="s">
        <v>25</v>
      </c>
      <c r="D4" s="29"/>
      <c r="E4" s="30" t="s">
        <v>26</v>
      </c>
      <c r="F4" s="31"/>
      <c r="G4" s="31"/>
      <c r="H4" s="32"/>
      <c r="I4" s="33" t="s">
        <v>5</v>
      </c>
      <c r="J4" s="28"/>
      <c r="K4" s="34"/>
      <c r="L4" s="23"/>
      <c r="M4" s="24"/>
      <c r="N4" s="24"/>
      <c r="O4" s="24"/>
      <c r="P4" s="24"/>
      <c r="Q4" s="24"/>
      <c r="R4" s="24"/>
      <c r="S4" s="24"/>
      <c r="T4" s="24"/>
    </row>
    <row r="5" spans="1:21" ht="15" customHeight="1">
      <c r="A5" s="419">
        <v>1.4998379488658558</v>
      </c>
      <c r="B5" s="420" t="s">
        <v>247</v>
      </c>
      <c r="C5" s="421">
        <v>8.1290000000000001E-2</v>
      </c>
      <c r="D5" s="422">
        <v>5.0000000000000004E-6</v>
      </c>
      <c r="E5" s="423" t="s">
        <v>250</v>
      </c>
      <c r="F5" s="424"/>
      <c r="G5" s="425"/>
      <c r="H5" s="426" t="s">
        <v>27</v>
      </c>
      <c r="I5" s="427">
        <v>0.02</v>
      </c>
      <c r="J5" s="428">
        <v>0.02</v>
      </c>
      <c r="K5" s="429"/>
      <c r="L5" s="9"/>
      <c r="M5" s="10"/>
      <c r="N5" s="10"/>
      <c r="O5" s="10"/>
      <c r="P5" s="10"/>
      <c r="Q5" s="10"/>
      <c r="R5" s="10"/>
      <c r="S5" s="10"/>
      <c r="T5" s="10"/>
    </row>
    <row r="6" spans="1:21" ht="15" customHeight="1">
      <c r="A6" s="430"/>
      <c r="B6" s="431" t="s">
        <v>249</v>
      </c>
      <c r="C6" s="421">
        <v>0.63261999999999996</v>
      </c>
      <c r="D6" s="422">
        <v>5.0000000000000004E-6</v>
      </c>
      <c r="E6" s="432">
        <v>0.78764000000000001</v>
      </c>
      <c r="F6" s="433">
        <v>2.0000000000000001E-4</v>
      </c>
      <c r="G6" s="434" t="s">
        <v>150</v>
      </c>
      <c r="H6" s="426" t="s">
        <v>28</v>
      </c>
      <c r="I6" s="427">
        <v>5.0000000000000001E-4</v>
      </c>
      <c r="J6" s="428">
        <v>5.0000000000000001E-4</v>
      </c>
      <c r="K6" s="429"/>
      <c r="L6" s="9"/>
      <c r="M6" s="10"/>
      <c r="N6" s="10"/>
      <c r="O6" s="10"/>
      <c r="P6" s="10"/>
      <c r="Q6" s="10"/>
      <c r="R6" s="10"/>
      <c r="S6" s="10"/>
      <c r="T6" s="10"/>
    </row>
    <row r="7" spans="1:21" ht="15" customHeight="1">
      <c r="A7" s="419"/>
      <c r="B7" s="431" t="str">
        <f>B6</f>
        <v>Spl-D-III-B Wt. (g)</v>
      </c>
      <c r="C7" s="421">
        <f>C6</f>
        <v>0.63261999999999996</v>
      </c>
      <c r="D7" s="422">
        <v>5.0000000000000004E-6</v>
      </c>
      <c r="E7" s="432">
        <v>0.21686</v>
      </c>
      <c r="F7" s="433">
        <v>1E-4</v>
      </c>
      <c r="G7" s="434" t="s">
        <v>209</v>
      </c>
      <c r="H7" s="426" t="s">
        <v>29</v>
      </c>
      <c r="I7" s="427">
        <v>1.2999999999999999E-4</v>
      </c>
      <c r="J7" s="428">
        <v>5.0000000000000001E-4</v>
      </c>
      <c r="K7" s="429"/>
      <c r="L7" s="9"/>
      <c r="M7" s="10"/>
      <c r="N7" s="400"/>
      <c r="O7" s="10"/>
      <c r="P7" s="400"/>
      <c r="Q7" s="10"/>
      <c r="R7" s="10"/>
      <c r="S7" s="10"/>
      <c r="T7" s="10"/>
    </row>
    <row r="8" spans="1:21" ht="15" customHeight="1">
      <c r="A8" s="419"/>
      <c r="B8" s="435"/>
      <c r="C8" s="429"/>
      <c r="D8" s="420" t="s">
        <v>6</v>
      </c>
      <c r="E8" s="436">
        <v>1</v>
      </c>
      <c r="F8" s="437"/>
      <c r="G8" s="438"/>
      <c r="H8" s="420" t="s">
        <v>7</v>
      </c>
      <c r="I8" s="439">
        <v>0.8</v>
      </c>
      <c r="J8" s="428"/>
      <c r="K8" s="429"/>
      <c r="L8" s="9"/>
      <c r="M8" s="10"/>
      <c r="N8" s="400"/>
      <c r="O8" s="10"/>
      <c r="P8" s="400"/>
      <c r="Q8" s="402"/>
      <c r="R8" s="10"/>
      <c r="S8" s="10"/>
      <c r="T8" s="10"/>
    </row>
    <row r="9" spans="1:21" ht="15" customHeight="1">
      <c r="A9" s="419"/>
      <c r="B9" s="419"/>
      <c r="C9" s="424"/>
      <c r="D9" s="420" t="s">
        <v>30</v>
      </c>
      <c r="E9" s="436">
        <v>1</v>
      </c>
      <c r="F9" s="440"/>
      <c r="G9" s="424"/>
      <c r="H9" s="429"/>
      <c r="I9" s="429"/>
      <c r="J9" s="429"/>
      <c r="K9" s="429"/>
      <c r="L9" s="9"/>
      <c r="M9" s="10"/>
      <c r="N9" s="10"/>
      <c r="O9" s="10"/>
      <c r="P9" s="10"/>
      <c r="Q9" s="10"/>
      <c r="R9" s="10"/>
      <c r="S9" s="10"/>
      <c r="T9" s="10"/>
    </row>
    <row r="10" spans="1:21" s="25" customFormat="1" ht="15" customHeight="1">
      <c r="A10" s="37" t="s">
        <v>8</v>
      </c>
      <c r="B10" s="38"/>
      <c r="C10" s="54"/>
      <c r="D10" s="2" t="s">
        <v>9</v>
      </c>
      <c r="E10" s="2" t="s">
        <v>10</v>
      </c>
      <c r="F10" s="2" t="s">
        <v>31</v>
      </c>
      <c r="G10" s="2"/>
      <c r="H10" s="28" t="s">
        <v>11</v>
      </c>
      <c r="I10" s="28"/>
      <c r="J10" s="28"/>
      <c r="K10" s="55"/>
      <c r="L10" s="23"/>
      <c r="M10" s="24"/>
      <c r="N10" s="403"/>
      <c r="O10" s="24"/>
      <c r="P10" s="399"/>
      <c r="Q10" s="24"/>
      <c r="R10" s="24"/>
      <c r="S10" s="24"/>
      <c r="T10" s="24"/>
    </row>
    <row r="11" spans="1:21" ht="15" customHeight="1">
      <c r="A11" s="441"/>
      <c r="B11" s="442"/>
      <c r="C11" s="420" t="s">
        <v>79</v>
      </c>
      <c r="D11" s="443">
        <v>6.2029091375354897</v>
      </c>
      <c r="E11" s="444">
        <v>6.3744989148715398E-3</v>
      </c>
      <c r="F11" s="445">
        <f>E11/D11*1000</f>
        <v>1.0276627907214879</v>
      </c>
      <c r="G11" s="446"/>
      <c r="H11" s="447" t="s">
        <v>158</v>
      </c>
      <c r="I11" s="448">
        <f>D13</f>
        <v>618</v>
      </c>
      <c r="J11" s="431" t="s">
        <v>159</v>
      </c>
      <c r="K11" s="449">
        <f>0.131*3</f>
        <v>0.39300000000000002</v>
      </c>
      <c r="L11" s="9"/>
      <c r="M11" s="10"/>
      <c r="N11" s="10"/>
      <c r="O11" s="10"/>
      <c r="P11" s="10"/>
      <c r="Q11" s="10"/>
      <c r="R11" s="10"/>
      <c r="S11" s="10"/>
      <c r="T11" s="10"/>
    </row>
    <row r="12" spans="1:21" ht="15" customHeight="1">
      <c r="A12" s="441"/>
      <c r="B12" s="442"/>
      <c r="C12" s="420" t="s">
        <v>80</v>
      </c>
      <c r="D12" s="450">
        <v>1.4108989195374001E-2</v>
      </c>
      <c r="E12" s="450">
        <v>1.45097087932848E-5</v>
      </c>
      <c r="F12" s="451"/>
      <c r="G12" s="446"/>
      <c r="H12" s="452" t="s">
        <v>175</v>
      </c>
      <c r="I12" s="453">
        <v>137.82</v>
      </c>
      <c r="J12" s="431" t="s">
        <v>161</v>
      </c>
      <c r="K12" s="449">
        <f>0.131</f>
        <v>0.13100000000000001</v>
      </c>
      <c r="L12" s="9"/>
      <c r="M12" s="10"/>
      <c r="N12" s="401"/>
      <c r="O12" s="10"/>
      <c r="P12" s="10"/>
      <c r="Q12" s="10"/>
      <c r="R12" s="10"/>
      <c r="S12" s="10"/>
      <c r="T12" s="10"/>
    </row>
    <row r="13" spans="1:21" ht="15" customHeight="1">
      <c r="A13" s="441"/>
      <c r="B13" s="442"/>
      <c r="C13" s="420" t="s">
        <v>200</v>
      </c>
      <c r="D13" s="454">
        <v>618</v>
      </c>
      <c r="E13" s="455">
        <v>571</v>
      </c>
      <c r="F13" s="451"/>
      <c r="G13" s="451"/>
      <c r="H13" s="456" t="s">
        <v>251</v>
      </c>
      <c r="I13" s="457">
        <f>I14*D28*K13*I11</f>
        <v>2957253.461689604</v>
      </c>
      <c r="J13" s="431" t="s">
        <v>160</v>
      </c>
      <c r="K13" s="449">
        <v>1.0489999999999999</v>
      </c>
      <c r="L13" s="9"/>
      <c r="M13" s="10"/>
      <c r="N13" s="10"/>
      <c r="O13" s="10"/>
      <c r="P13" s="10"/>
      <c r="Q13" s="10"/>
      <c r="R13" s="10"/>
      <c r="S13" s="10"/>
      <c r="T13" s="10"/>
      <c r="U13" s="10"/>
    </row>
    <row r="14" spans="1:21" ht="15" customHeight="1">
      <c r="A14" s="441"/>
      <c r="B14" s="442"/>
      <c r="C14" s="420" t="s">
        <v>162</v>
      </c>
      <c r="D14" s="454">
        <v>52142.888246515002</v>
      </c>
      <c r="E14" s="458"/>
      <c r="F14" s="459"/>
      <c r="G14" s="459"/>
      <c r="H14" s="420" t="s">
        <v>162</v>
      </c>
      <c r="I14" s="460">
        <f>D14</f>
        <v>52142.888246515002</v>
      </c>
      <c r="J14" s="461">
        <f>I14*0.05</f>
        <v>2607.1444123257502</v>
      </c>
      <c r="K14" s="462"/>
      <c r="L14" s="9"/>
      <c r="M14" s="10"/>
      <c r="N14" s="10"/>
      <c r="O14" s="10"/>
      <c r="P14" s="10"/>
      <c r="Q14" s="10"/>
      <c r="R14" s="10"/>
      <c r="S14" s="10"/>
      <c r="T14" s="10"/>
      <c r="U14" s="10"/>
    </row>
    <row r="15" spans="1:21" ht="15" customHeight="1">
      <c r="A15" s="463" t="s">
        <v>202</v>
      </c>
      <c r="B15" s="464" t="s">
        <v>203</v>
      </c>
      <c r="C15" s="465">
        <v>1.7</v>
      </c>
      <c r="D15" s="464" t="s">
        <v>204</v>
      </c>
      <c r="E15" s="465">
        <v>20</v>
      </c>
      <c r="F15" s="464" t="s">
        <v>205</v>
      </c>
      <c r="G15" s="466">
        <v>176</v>
      </c>
      <c r="H15" s="420" t="s">
        <v>84</v>
      </c>
      <c r="I15" s="467">
        <v>1E-4</v>
      </c>
      <c r="J15" s="468">
        <v>0.1</v>
      </c>
      <c r="K15" s="462"/>
      <c r="L15" s="9"/>
      <c r="M15" s="10"/>
      <c r="N15" s="10"/>
      <c r="O15" s="10"/>
      <c r="P15" s="10"/>
      <c r="Q15" s="10"/>
      <c r="R15" s="10"/>
      <c r="S15" s="10"/>
      <c r="T15" s="10"/>
      <c r="U15" s="10"/>
    </row>
    <row r="16" spans="1:21" ht="15" customHeight="1">
      <c r="A16" s="441"/>
      <c r="B16" s="442"/>
      <c r="C16" s="420" t="s">
        <v>81</v>
      </c>
      <c r="D16" s="469">
        <f>D12*(1-C15/(D14*D12*D11))</f>
        <v>1.4103733158318591E-2</v>
      </c>
      <c r="E16" s="469">
        <f>E12</f>
        <v>1.45097087932848E-5</v>
      </c>
      <c r="F16" s="445">
        <f>E16/D16*1000</f>
        <v>1.0287849770276432</v>
      </c>
      <c r="G16" s="445"/>
      <c r="H16" s="431" t="s">
        <v>85</v>
      </c>
      <c r="I16" s="470">
        <f>2000/(I14*I11*K11)^0.5</f>
        <v>0.56200727988565558</v>
      </c>
      <c r="J16" s="471" t="s">
        <v>12</v>
      </c>
      <c r="K16" s="462"/>
      <c r="L16" s="112"/>
      <c r="M16" s="10"/>
      <c r="N16" s="413" t="s">
        <v>252</v>
      </c>
      <c r="O16" s="10"/>
      <c r="P16" s="10"/>
      <c r="Q16" s="10"/>
      <c r="R16" s="10"/>
      <c r="S16" s="10"/>
      <c r="T16" s="10"/>
      <c r="U16" s="10"/>
    </row>
    <row r="17" spans="1:21" ht="15" customHeight="1">
      <c r="A17" s="441"/>
      <c r="B17" s="442"/>
      <c r="C17" s="420" t="s">
        <v>82</v>
      </c>
      <c r="D17" s="472">
        <v>9.9999999999999994E-12</v>
      </c>
      <c r="E17" s="472">
        <v>0</v>
      </c>
      <c r="F17" s="473">
        <f>E17/D17*1000</f>
        <v>0</v>
      </c>
      <c r="G17" s="474"/>
      <c r="H17" s="431" t="s">
        <v>86</v>
      </c>
      <c r="I17" s="470">
        <f>2000/(I13)^0.5</f>
        <v>1.1630160849981712</v>
      </c>
      <c r="J17" s="471" t="s">
        <v>12</v>
      </c>
      <c r="K17" s="419"/>
      <c r="L17" s="9"/>
      <c r="M17" s="10"/>
      <c r="N17" s="10"/>
      <c r="O17" s="10"/>
      <c r="P17" s="10"/>
      <c r="Q17" s="10"/>
      <c r="R17" s="10"/>
      <c r="S17" s="10"/>
      <c r="T17" s="10"/>
      <c r="U17" s="10"/>
    </row>
    <row r="18" spans="1:21" ht="15" customHeight="1">
      <c r="A18" s="441"/>
      <c r="B18" s="442"/>
      <c r="C18" s="420" t="s">
        <v>83</v>
      </c>
      <c r="D18" s="472">
        <v>9.9999999999999994E-12</v>
      </c>
      <c r="E18" s="472">
        <v>0</v>
      </c>
      <c r="F18" s="473">
        <f>E18/D18*1000</f>
        <v>0</v>
      </c>
      <c r="G18" s="474"/>
      <c r="H18" s="431" t="s">
        <v>87</v>
      </c>
      <c r="I18" s="470">
        <f>2000/(I14*D11*K12*I11)^0.5</f>
        <v>0.39084526845445333</v>
      </c>
      <c r="J18" s="471" t="s">
        <v>12</v>
      </c>
      <c r="K18" s="419"/>
      <c r="L18" s="9"/>
      <c r="M18" s="10"/>
      <c r="N18" s="10"/>
      <c r="O18" s="10"/>
      <c r="P18" s="10"/>
      <c r="Q18" s="10"/>
      <c r="R18" s="10"/>
      <c r="S18" s="10"/>
      <c r="T18" s="10"/>
      <c r="U18" s="10"/>
    </row>
    <row r="19" spans="1:21" s="25" customFormat="1" ht="15" customHeight="1">
      <c r="A19" s="40" t="s">
        <v>32</v>
      </c>
      <c r="B19" s="38"/>
      <c r="C19" s="54"/>
      <c r="D19" s="2" t="s">
        <v>9</v>
      </c>
      <c r="E19" s="2" t="s">
        <v>10</v>
      </c>
      <c r="F19" s="2" t="s">
        <v>31</v>
      </c>
      <c r="G19" s="2"/>
      <c r="H19" s="56" t="s">
        <v>13</v>
      </c>
      <c r="I19" s="28" t="s">
        <v>14</v>
      </c>
      <c r="J19" s="2" t="s">
        <v>15</v>
      </c>
      <c r="K19" s="55" t="s">
        <v>16</v>
      </c>
      <c r="L19" s="23"/>
      <c r="M19" s="24"/>
      <c r="N19" s="24"/>
      <c r="O19" s="24"/>
      <c r="P19" s="24"/>
      <c r="Q19" s="24"/>
      <c r="R19" s="24"/>
      <c r="S19" s="24"/>
      <c r="T19" s="24"/>
      <c r="U19" s="24"/>
    </row>
    <row r="20" spans="1:21" ht="15" customHeight="1">
      <c r="A20" s="441"/>
      <c r="B20" s="442"/>
      <c r="C20" s="420" t="s">
        <v>117</v>
      </c>
      <c r="D20" s="475">
        <v>2.8409234076772399E-2</v>
      </c>
      <c r="E20" s="476">
        <v>3.1329804060888601E-5</v>
      </c>
      <c r="F20" s="477"/>
      <c r="G20" s="478"/>
      <c r="H20" s="447" t="s">
        <v>139</v>
      </c>
      <c r="I20" s="448">
        <f>G21</f>
        <v>564</v>
      </c>
      <c r="J20" s="479">
        <v>1.0489999999999999</v>
      </c>
      <c r="K20" s="480" t="s">
        <v>140</v>
      </c>
      <c r="L20" s="9"/>
      <c r="M20" s="10"/>
      <c r="N20" s="10"/>
      <c r="O20" s="10"/>
      <c r="P20" s="10"/>
      <c r="Q20" s="10"/>
      <c r="R20" s="10"/>
      <c r="S20" s="10"/>
      <c r="T20" s="10"/>
    </row>
    <row r="21" spans="1:21" ht="15" customHeight="1">
      <c r="A21" s="441"/>
      <c r="B21" s="442"/>
      <c r="C21" s="420"/>
      <c r="D21" s="481">
        <v>264.57697516697903</v>
      </c>
      <c r="E21" s="482">
        <v>5.2971693774429598</v>
      </c>
      <c r="F21" s="454">
        <v>293090.76863761898</v>
      </c>
      <c r="G21" s="454">
        <v>564</v>
      </c>
      <c r="H21" s="431"/>
      <c r="I21" s="483"/>
      <c r="J21" s="445"/>
      <c r="K21" s="483"/>
      <c r="L21" s="9"/>
      <c r="M21" s="10"/>
      <c r="N21" s="10"/>
      <c r="O21" s="10"/>
      <c r="P21" s="10"/>
      <c r="Q21" s="10"/>
      <c r="R21" s="10"/>
      <c r="S21" s="10"/>
      <c r="T21" s="10"/>
    </row>
    <row r="22" spans="1:21" ht="15" customHeight="1">
      <c r="A22" s="441"/>
      <c r="B22" s="442"/>
      <c r="C22" s="420" t="s">
        <v>88</v>
      </c>
      <c r="D22" s="484">
        <f>D21</f>
        <v>264.57697516697903</v>
      </c>
      <c r="E22" s="485">
        <f>E21</f>
        <v>5.2971693774429598</v>
      </c>
      <c r="F22" s="445">
        <f>E22/D22*1000</f>
        <v>20.021278775675118</v>
      </c>
      <c r="G22" s="446"/>
      <c r="H22" s="420" t="s">
        <v>143</v>
      </c>
      <c r="I22" s="486">
        <f>I23*D22/62500</f>
        <v>1240.7211042480978</v>
      </c>
      <c r="J22" s="487"/>
      <c r="K22" s="488"/>
      <c r="L22" s="9"/>
      <c r="M22" s="10"/>
      <c r="N22" s="10"/>
      <c r="O22" s="10"/>
      <c r="P22" s="10"/>
      <c r="Q22" s="10"/>
      <c r="R22" s="10"/>
      <c r="S22" s="10"/>
      <c r="T22" s="10"/>
    </row>
    <row r="23" spans="1:21" ht="15" customHeight="1">
      <c r="A23" s="441"/>
      <c r="B23" s="489"/>
      <c r="C23" s="420" t="s">
        <v>90</v>
      </c>
      <c r="D23" s="490">
        <v>1E-10</v>
      </c>
      <c r="E23" s="491">
        <f>F23/1000*D23</f>
        <v>2.5000000000000001E-11</v>
      </c>
      <c r="F23" s="492">
        <v>250</v>
      </c>
      <c r="G23" s="493"/>
      <c r="H23" s="420" t="s">
        <v>142</v>
      </c>
      <c r="I23" s="460">
        <f>F21</f>
        <v>293090.76863761898</v>
      </c>
      <c r="J23" s="494">
        <v>10</v>
      </c>
      <c r="K23" s="429"/>
      <c r="L23" s="9"/>
      <c r="M23" s="10"/>
      <c r="N23" s="10"/>
      <c r="O23" s="10"/>
      <c r="P23" s="10"/>
      <c r="Q23" s="10"/>
      <c r="R23" s="10"/>
      <c r="S23" s="10"/>
      <c r="T23" s="10"/>
    </row>
    <row r="24" spans="1:21" ht="15" customHeight="1">
      <c r="A24" s="441"/>
      <c r="B24" s="489"/>
      <c r="C24" s="420" t="s">
        <v>91</v>
      </c>
      <c r="D24" s="490">
        <f>D23/2.5</f>
        <v>4.0000000000000004E-11</v>
      </c>
      <c r="E24" s="491">
        <f>F24/1000*D24</f>
        <v>1.0000000000000001E-11</v>
      </c>
      <c r="F24" s="492">
        <v>250</v>
      </c>
      <c r="G24" s="493"/>
      <c r="H24" s="420" t="s">
        <v>89</v>
      </c>
      <c r="I24" s="495">
        <f>I23*D20</f>
        <v>8326.4842519672602</v>
      </c>
      <c r="J24" s="496">
        <v>10</v>
      </c>
      <c r="K24" s="488"/>
      <c r="L24" s="9"/>
      <c r="M24" s="10"/>
      <c r="N24" s="10"/>
      <c r="O24" s="10"/>
      <c r="P24" s="10"/>
      <c r="Q24" s="10"/>
      <c r="R24" s="10"/>
      <c r="S24" s="10"/>
      <c r="T24" s="10"/>
    </row>
    <row r="25" spans="1:21" ht="15" customHeight="1">
      <c r="A25" s="441"/>
      <c r="B25" s="489"/>
      <c r="C25" s="420" t="s">
        <v>33</v>
      </c>
      <c r="D25" s="497">
        <v>54</v>
      </c>
      <c r="E25" s="419">
        <f>F25*D25/1000</f>
        <v>10.8</v>
      </c>
      <c r="F25" s="492">
        <v>200</v>
      </c>
      <c r="G25" s="493"/>
      <c r="H25" s="420" t="s">
        <v>141</v>
      </c>
      <c r="I25" s="495">
        <f>I22*62500</f>
        <v>77545069.015506119</v>
      </c>
      <c r="J25" s="498">
        <v>10</v>
      </c>
      <c r="K25" s="488"/>
      <c r="L25" s="9"/>
      <c r="M25" s="10"/>
      <c r="N25" s="10"/>
      <c r="O25" s="10"/>
      <c r="P25" s="10"/>
      <c r="Q25" s="10"/>
      <c r="R25" s="10"/>
      <c r="S25" s="10"/>
      <c r="T25" s="10"/>
    </row>
    <row r="26" spans="1:21" ht="15" customHeight="1">
      <c r="A26" s="441"/>
      <c r="B26" s="489"/>
      <c r="C26" s="420" t="s">
        <v>34</v>
      </c>
      <c r="D26" s="436">
        <v>60</v>
      </c>
      <c r="E26" s="424"/>
      <c r="F26" s="424"/>
      <c r="G26" s="429"/>
      <c r="H26" s="420" t="s">
        <v>245</v>
      </c>
      <c r="I26" s="439">
        <v>6.4999999999999997E-4</v>
      </c>
      <c r="J26" s="433">
        <v>5.0000000000000002E-5</v>
      </c>
      <c r="K26" s="424"/>
      <c r="L26" s="9"/>
      <c r="M26" s="10"/>
      <c r="N26" s="10"/>
      <c r="O26" s="10"/>
      <c r="P26" s="10"/>
      <c r="Q26" s="10"/>
      <c r="R26" s="10"/>
      <c r="S26" s="10"/>
      <c r="T26" s="10"/>
    </row>
    <row r="27" spans="1:21" s="25" customFormat="1" ht="15" customHeight="1">
      <c r="A27" s="37" t="s">
        <v>17</v>
      </c>
      <c r="B27" s="38"/>
      <c r="C27" s="38"/>
      <c r="D27" s="2" t="s">
        <v>9</v>
      </c>
      <c r="E27" s="2" t="s">
        <v>10</v>
      </c>
      <c r="F27" s="2" t="s">
        <v>31</v>
      </c>
      <c r="G27" s="2"/>
      <c r="H27" s="2"/>
      <c r="I27" s="2" t="s">
        <v>9</v>
      </c>
      <c r="J27" s="2" t="s">
        <v>10</v>
      </c>
      <c r="K27" s="1" t="s">
        <v>31</v>
      </c>
      <c r="L27" s="23"/>
      <c r="M27" s="42"/>
      <c r="N27" s="42"/>
      <c r="O27" s="42"/>
      <c r="P27" s="42"/>
      <c r="Q27" s="42"/>
    </row>
    <row r="28" spans="1:21" ht="15" customHeight="1">
      <c r="A28" s="499" t="s">
        <v>176</v>
      </c>
      <c r="B28" s="500"/>
      <c r="C28" s="501" t="s">
        <v>66</v>
      </c>
      <c r="D28" s="502">
        <f>(D29*D11)^E8</f>
        <v>8.7484175281096657E-2</v>
      </c>
      <c r="E28" s="503">
        <f>F28*D28/1000</f>
        <v>1.2721322192281461E-4</v>
      </c>
      <c r="F28" s="504">
        <f>MAX((F11^2+F16^2)^0.5,SQRT(I17^2+2*I16^2+2/9*I16^2))</f>
        <v>1.4541283782359951</v>
      </c>
      <c r="G28" s="505"/>
      <c r="H28" s="501" t="s">
        <v>72</v>
      </c>
      <c r="I28" s="506">
        <f>(((I14*D11)-G15)/(I14-E15))^E8</f>
        <v>6.2019126114603482</v>
      </c>
      <c r="J28" s="507">
        <f>K28*I28/1000</f>
        <v>6.3734748221041318E-3</v>
      </c>
      <c r="K28" s="508">
        <f>MAX(F11,SQRT(I18^2+I16^2+I16^2*8/9))</f>
        <v>1.0276627907214879</v>
      </c>
      <c r="L28" s="44"/>
      <c r="M28" s="45"/>
      <c r="N28" s="45"/>
      <c r="O28" s="45"/>
      <c r="P28" s="10"/>
      <c r="Q28" s="10"/>
    </row>
    <row r="29" spans="1:21" ht="15" customHeight="1">
      <c r="A29" s="499">
        <v>1.68021536283273E-2</v>
      </c>
      <c r="B29" s="509"/>
      <c r="C29" s="501" t="s">
        <v>67</v>
      </c>
      <c r="D29" s="510">
        <f>D16</f>
        <v>1.4103733158318591E-2</v>
      </c>
      <c r="E29" s="511">
        <f>E16</f>
        <v>1.45097087932848E-5</v>
      </c>
      <c r="F29" s="512">
        <f>MAX(F16,SQRT(I17^2+I18^2+I16^2*2/9))</f>
        <v>1.2552114609732901</v>
      </c>
      <c r="G29" s="505"/>
      <c r="H29" s="513" t="s">
        <v>73</v>
      </c>
      <c r="I29" s="514">
        <f>((I28-A31)*C6*E6*I12)/1000/C5</f>
        <v>5.150304181945125</v>
      </c>
      <c r="J29" s="503">
        <f>I29*SQRT((SQRT(J28^2+(0.0000527)^2)/(I28-A31))^2+(D6/C6)^2+(F6/E6)^2+(D5/C5)^2)</f>
        <v>5.5501363184092458E-3</v>
      </c>
      <c r="K29" s="508">
        <f>J29/I29*1000</f>
        <v>1.0776327227167999</v>
      </c>
      <c r="L29" s="44"/>
      <c r="M29" s="45"/>
      <c r="N29" s="45"/>
      <c r="O29" s="45"/>
      <c r="P29" s="10"/>
      <c r="Q29" s="10"/>
    </row>
    <row r="30" spans="1:21" ht="15" customHeight="1">
      <c r="A30" s="499" t="s">
        <v>177</v>
      </c>
      <c r="B30" s="500"/>
      <c r="C30" s="515" t="s">
        <v>68</v>
      </c>
      <c r="D30" s="516">
        <f>D29*(1-(4/9*D17+5/9*D18))</f>
        <v>1.4103733158177555E-2</v>
      </c>
      <c r="E30" s="511">
        <f>F30*D30/1000</f>
        <v>1.7703167502653484E-5</v>
      </c>
      <c r="F30" s="517">
        <f>SQRT((F29/1000)^2+(SQRT((4/9*E17)^2+(5/9*E18)^2)/(1-(4/9*E17+5/9*E18)))^2)*1000</f>
        <v>1.2552114609732901</v>
      </c>
      <c r="G30" s="518"/>
      <c r="H30" s="519" t="s">
        <v>76</v>
      </c>
      <c r="I30" s="520">
        <f>(I29*C5-I5/1000)/C5</f>
        <v>5.1500581492227724</v>
      </c>
      <c r="J30" s="511">
        <f>SQRT(J29^2+(J6/1000)^2)</f>
        <v>5.5501363409312145E-3</v>
      </c>
      <c r="K30" s="508">
        <f>J30/I30*1000</f>
        <v>1.07768420862759</v>
      </c>
      <c r="L30" s="44"/>
      <c r="M30" s="45"/>
      <c r="N30" s="45"/>
      <c r="O30" s="45"/>
      <c r="P30" s="10"/>
      <c r="Q30" s="10"/>
    </row>
    <row r="31" spans="1:21" ht="15" customHeight="1">
      <c r="A31" s="499">
        <v>0.10532139153895401</v>
      </c>
      <c r="B31" s="521"/>
      <c r="C31" s="515" t="s">
        <v>69</v>
      </c>
      <c r="D31" s="516">
        <f>D30*(1-A33/D28)</f>
        <v>1.3588631804529339E-2</v>
      </c>
      <c r="E31" s="511">
        <f>F31*D31/1000</f>
        <v>1.7104098193639303E-5</v>
      </c>
      <c r="F31" s="517">
        <f>SQRT((F30/1000)^2+(A33/D28*SQRT(0.002^2+(F28/1000)^2)/(1-A33/D28))^2)*1000</f>
        <v>1.2587064275255582</v>
      </c>
      <c r="G31" s="518"/>
      <c r="H31" s="519" t="s">
        <v>74</v>
      </c>
      <c r="I31" s="522">
        <f>I30*(1-I15/(I14*I28*I12))</f>
        <v>5.1500581492112172</v>
      </c>
      <c r="J31" s="523">
        <f>K31*I31/1000</f>
        <v>5.5501363409307869E-3</v>
      </c>
      <c r="K31" s="508">
        <f>SQRT((K30/1000)^2+((I15/(I14*D11*I12))*SQRT((J15/I15)^2+(J14/I14)^2+(F11/1000)^2)/(1-(I15/(I14*D11*I12))))^2)*1000</f>
        <v>1.077684208629925</v>
      </c>
      <c r="L31" s="44"/>
      <c r="M31" s="10"/>
      <c r="N31" s="47"/>
      <c r="O31" s="10"/>
      <c r="P31" s="10"/>
      <c r="Q31" s="10"/>
    </row>
    <row r="32" spans="1:21" ht="15" customHeight="1">
      <c r="A32" s="499" t="s">
        <v>178</v>
      </c>
      <c r="B32" s="521"/>
      <c r="C32" s="515" t="s">
        <v>70</v>
      </c>
      <c r="D32" s="516">
        <f>D31*(1/(1-A31/I28))</f>
        <v>1.382338161128807E-2</v>
      </c>
      <c r="E32" s="511">
        <f>F32*D32/1000</f>
        <v>1.7401719539367753E-5</v>
      </c>
      <c r="F32" s="517">
        <f>SQRT((F31/1000)^2+(A31/I28*SQRT(0.0005^2+(K28/1000)^2)/(1-A31/I28))^2)*1000</f>
        <v>1.2588612561457206</v>
      </c>
      <c r="G32" s="518"/>
      <c r="H32" s="513" t="s">
        <v>75</v>
      </c>
      <c r="I32" s="524">
        <f>I31*238.050785</f>
        <v>1225.9753852153774</v>
      </c>
      <c r="J32" s="525">
        <f>J31*238.050785</f>
        <v>1.3212143128156013</v>
      </c>
      <c r="K32" s="508">
        <f>J32/I32*1000</f>
        <v>1.077684208629925</v>
      </c>
      <c r="L32" s="9"/>
      <c r="M32" s="10"/>
      <c r="N32" s="10"/>
      <c r="O32" s="10"/>
      <c r="P32" s="10"/>
      <c r="Q32" s="10"/>
    </row>
    <row r="33" spans="1:17" ht="15" customHeight="1">
      <c r="A33" s="499">
        <v>3.1951268933333699E-3</v>
      </c>
      <c r="B33" s="521"/>
      <c r="C33" s="526" t="s">
        <v>71</v>
      </c>
      <c r="D33" s="527">
        <f>D32*1000000/I12</f>
        <v>100.30025838984234</v>
      </c>
      <c r="E33" s="528">
        <f>E32*1000000/I12</f>
        <v>0.12626410926837728</v>
      </c>
      <c r="F33" s="504">
        <f>(E33/D33)*1000</f>
        <v>1.2588612561457204</v>
      </c>
      <c r="G33" s="505"/>
      <c r="H33" s="529" t="s">
        <v>78</v>
      </c>
      <c r="I33" s="530">
        <f>((D33/(J52/J51*10^6))-1)*1000</f>
        <v>824.67946724757883</v>
      </c>
      <c r="J33" s="531">
        <f>E33/(J52/J51*10^6)*1000</f>
        <v>2.2970182862025914</v>
      </c>
      <c r="K33" s="532"/>
      <c r="L33" s="9"/>
      <c r="M33" s="10"/>
      <c r="N33" s="10"/>
      <c r="O33" s="10"/>
      <c r="P33" s="10"/>
      <c r="Q33" s="10"/>
    </row>
    <row r="34" spans="1:17" s="25" customFormat="1" ht="15" customHeight="1">
      <c r="A34" s="40" t="s">
        <v>35</v>
      </c>
      <c r="B34" s="38"/>
      <c r="C34" s="38"/>
      <c r="D34" s="2" t="s">
        <v>9</v>
      </c>
      <c r="E34" s="2" t="s">
        <v>10</v>
      </c>
      <c r="F34" s="2" t="s">
        <v>31</v>
      </c>
      <c r="G34" s="2"/>
      <c r="H34" s="2"/>
      <c r="I34" s="2" t="s">
        <v>9</v>
      </c>
      <c r="J34" s="2" t="s">
        <v>10</v>
      </c>
      <c r="K34" s="1" t="s">
        <v>31</v>
      </c>
      <c r="L34" s="23"/>
      <c r="M34" s="24"/>
      <c r="N34" s="24"/>
      <c r="O34" s="24"/>
      <c r="P34" s="24"/>
      <c r="Q34" s="24"/>
    </row>
    <row r="35" spans="1:17" ht="15" customHeight="1">
      <c r="A35" s="533"/>
      <c r="B35" s="521"/>
      <c r="C35" s="501" t="s">
        <v>51</v>
      </c>
      <c r="D35" s="534"/>
      <c r="E35" s="502">
        <f>D20*2*SQRT(1/(I24*I20*J20)+1/(I23*I20*J20))</f>
        <v>2.5960579098702634E-5</v>
      </c>
      <c r="F35" s="550">
        <f>E35/D20*1000</f>
        <v>0.91380777913784716</v>
      </c>
      <c r="G35" s="505"/>
      <c r="H35" s="501" t="s">
        <v>59</v>
      </c>
      <c r="I35" s="506">
        <f>D22</f>
        <v>264.57697516697903</v>
      </c>
      <c r="J35" s="536">
        <f>E22</f>
        <v>5.2971693774429598</v>
      </c>
      <c r="K35" s="550">
        <f>MAX(F22,SQRT((2000/SQRT(I25*I20*J20))^2+(2000/SQRT(I23*I20*J20))^2))</f>
        <v>20.021278775675118</v>
      </c>
      <c r="L35" s="44"/>
      <c r="M35" s="10"/>
      <c r="N35" s="10"/>
      <c r="O35" s="10"/>
      <c r="P35" s="10"/>
      <c r="Q35" s="10"/>
    </row>
    <row r="36" spans="1:17" ht="15" customHeight="1">
      <c r="A36" s="537" t="s">
        <v>248</v>
      </c>
      <c r="B36" s="521"/>
      <c r="C36" s="501" t="s">
        <v>77</v>
      </c>
      <c r="D36" s="516">
        <f>D20</f>
        <v>2.8409234076772399E-2</v>
      </c>
      <c r="E36" s="502">
        <f>MAX(D36*0.00001,E35,E20)</f>
        <v>3.1329804060888601E-5</v>
      </c>
      <c r="F36" s="550">
        <f>1000*E36/D36</f>
        <v>1.1028035453621781</v>
      </c>
      <c r="G36" s="505"/>
      <c r="H36" s="538" t="s">
        <v>244</v>
      </c>
      <c r="I36" s="539">
        <f>I35-I26</f>
        <v>264.57632516697902</v>
      </c>
      <c r="J36" s="516">
        <f>SQRT((J35)^2+(J26)^2)</f>
        <v>5.2971693776789346</v>
      </c>
      <c r="K36" s="550">
        <f>J36*1000/I36</f>
        <v>20.021327964003554</v>
      </c>
      <c r="L36" s="9"/>
      <c r="M36" s="10"/>
      <c r="N36" s="10"/>
      <c r="O36" s="10"/>
      <c r="P36" s="10"/>
      <c r="Q36" s="10"/>
    </row>
    <row r="37" spans="1:17" ht="15" customHeight="1">
      <c r="A37" s="540">
        <v>6.2500000000000001E-5</v>
      </c>
      <c r="B37" s="509"/>
      <c r="C37" s="538" t="s">
        <v>52</v>
      </c>
      <c r="D37" s="516">
        <f>D20-A37</f>
        <v>2.8346734076772399E-2</v>
      </c>
      <c r="E37" s="502">
        <f>SQRT((E36)^2+(0.000003)^2)</f>
        <v>3.1473109514213434E-5</v>
      </c>
      <c r="F37" s="550">
        <f>E37/D37*1000</f>
        <v>1.1102904986858018</v>
      </c>
      <c r="G37" s="505"/>
      <c r="H37" s="538" t="s">
        <v>60</v>
      </c>
      <c r="I37" s="539">
        <f>I36-(I6/(C7*E7))</f>
        <v>264.57268058575829</v>
      </c>
      <c r="J37" s="516">
        <f>SQRT((I6/(C7*E7)*SQRT((J6/I6)^2+(D7/C7)^2+(F7/E7)^2))^2+J36^2)</f>
        <v>5.297170631459263</v>
      </c>
      <c r="K37" s="554">
        <f>J37*1000/I37</f>
        <v>20.021608503687681</v>
      </c>
      <c r="L37" s="48"/>
      <c r="M37" s="10"/>
      <c r="N37" s="10"/>
      <c r="O37" s="10"/>
      <c r="P37" s="10"/>
      <c r="Q37" s="10"/>
    </row>
    <row r="38" spans="1:17" ht="15" customHeight="1">
      <c r="A38" s="533"/>
      <c r="B38" s="521"/>
      <c r="C38" s="538" t="s">
        <v>54</v>
      </c>
      <c r="D38" s="516">
        <f>D37-D23-(D24*D22)</f>
        <v>2.8346723393693391E-2</v>
      </c>
      <c r="E38" s="516">
        <f>SQRT(E37^2+E23^2+(D24*D22*SQRT((E24/D24)^2+(E22/D22)^2))^2)</f>
        <v>3.1473109626144203E-5</v>
      </c>
      <c r="F38" s="550">
        <f>E38/D38*1000</f>
        <v>1.110290921071547</v>
      </c>
      <c r="G38" s="505"/>
      <c r="H38" s="501" t="s">
        <v>61</v>
      </c>
      <c r="I38" s="541">
        <f>I37*C7*E7/C5</f>
        <v>446.50902889669504</v>
      </c>
      <c r="J38" s="542">
        <f>I38*SQRT((J37/I37)^2+(D7/C7)^2+(F7/E7)^2+(D5/C5)^2)</f>
        <v>8.9422425856321262</v>
      </c>
      <c r="K38" s="554">
        <f>J38/I38*1000</f>
        <v>20.027014028648043</v>
      </c>
      <c r="L38" s="9"/>
      <c r="M38" s="10"/>
      <c r="N38" s="10"/>
      <c r="O38" s="10"/>
      <c r="P38" s="10"/>
      <c r="Q38" s="10"/>
    </row>
    <row r="39" spans="1:17" ht="15" customHeight="1">
      <c r="A39" s="533"/>
      <c r="B39" s="521"/>
      <c r="C39" s="538" t="s">
        <v>55</v>
      </c>
      <c r="D39" s="516">
        <f>D38*(1-(D25/60/(I23*D38)))</f>
        <v>2.8343652672618881E-2</v>
      </c>
      <c r="E39" s="516">
        <f>D39*SQRT((E38/D38)^2+((D25/60/(I23*D38))*SQRT((F25/1000)^2+(J23/I23)^2+(E38/D38)^2)/(1-D25/60/(I23*D38)))^2)</f>
        <v>3.1475692485942869E-5</v>
      </c>
      <c r="F39" s="550">
        <f>E39/D39*1000</f>
        <v>1.1105023353729444</v>
      </c>
      <c r="G39" s="505"/>
      <c r="H39" s="513" t="s">
        <v>62</v>
      </c>
      <c r="I39" s="548">
        <f>I38*232.032</f>
        <v>103604.38299295795</v>
      </c>
      <c r="J39" s="551">
        <f>K38*I39/1000</f>
        <v>2074.8864316293939</v>
      </c>
      <c r="K39" s="554">
        <f>J38/I38*1000</f>
        <v>20.027014028648043</v>
      </c>
      <c r="L39" s="9"/>
      <c r="M39" s="10"/>
      <c r="N39" s="10"/>
      <c r="O39" s="10"/>
      <c r="P39" s="10"/>
      <c r="Q39" s="10"/>
    </row>
    <row r="40" spans="1:17" ht="15" customHeight="1">
      <c r="A40" s="533"/>
      <c r="B40" s="521"/>
      <c r="C40" s="538" t="s">
        <v>56</v>
      </c>
      <c r="D40" s="516">
        <f>D39-(I7/(C7*E7*1000))</f>
        <v>2.8342705081501485E-2</v>
      </c>
      <c r="E40" s="516">
        <f>SQRT(E39^2+(I7/(C7*E7*1000)*SQRT((J7/I7)^2+(D7/C7)^2+(F7/E7)^2))^2)</f>
        <v>3.1685993592363149E-5</v>
      </c>
      <c r="F40" s="550">
        <f>E40/D40*1000</f>
        <v>1.117959400884559</v>
      </c>
      <c r="G40" s="505"/>
      <c r="H40" s="501" t="s">
        <v>63</v>
      </c>
      <c r="I40" s="552">
        <f>D41/I38</f>
        <v>1.0712634811255395E-4</v>
      </c>
      <c r="J40" s="549">
        <f>(K40/1000)*I40</f>
        <v>2.1493390313303993E-6</v>
      </c>
      <c r="K40" s="554">
        <f>SQRT(K39^2+F41^2)</f>
        <v>20.063589109489321</v>
      </c>
      <c r="L40" s="9"/>
      <c r="M40" s="10"/>
      <c r="N40" s="10"/>
      <c r="O40" s="10"/>
      <c r="P40" s="10"/>
      <c r="Q40" s="10"/>
    </row>
    <row r="41" spans="1:17" ht="15" customHeight="1">
      <c r="A41" s="533"/>
      <c r="B41" s="521"/>
      <c r="C41" s="513" t="s">
        <v>57</v>
      </c>
      <c r="D41" s="543">
        <f>D40*C7*E7/C5</f>
        <v>4.7832881664985762E-2</v>
      </c>
      <c r="E41" s="542">
        <f>D41*SQRT((E40/D40)^2+(D7/C7)^2+(F7/E7)^2+(D5/C5)^2)</f>
        <v>5.792159169489368E-5</v>
      </c>
      <c r="F41" s="535">
        <f>E41*1000/D41</f>
        <v>1.2109157901162575</v>
      </c>
      <c r="G41" s="505"/>
      <c r="H41" s="501" t="s">
        <v>64</v>
      </c>
      <c r="I41" s="553">
        <f>I40*J49/J50</f>
        <v>19.856582141519755</v>
      </c>
      <c r="J41" s="553">
        <f>(K40/1000)*I41</f>
        <v>0.39839430520627589</v>
      </c>
      <c r="K41" s="554">
        <f>J41/I41*1000</f>
        <v>20.063589109489321</v>
      </c>
      <c r="L41" s="9"/>
      <c r="M41" s="36"/>
      <c r="N41" s="36"/>
      <c r="O41" s="44"/>
      <c r="P41" s="10"/>
      <c r="Q41" s="10"/>
    </row>
    <row r="42" spans="1:17" ht="15" customHeight="1">
      <c r="A42" s="533"/>
      <c r="B42" s="544"/>
      <c r="C42" s="501" t="s">
        <v>58</v>
      </c>
      <c r="D42" s="548">
        <f>D41*230.03313</f>
        <v>11.003147486316287</v>
      </c>
      <c r="E42" s="549">
        <f>E41*230.03313</f>
        <v>1.3323885032158398E-2</v>
      </c>
      <c r="F42" s="550">
        <f>E42*1000/D42</f>
        <v>1.2109157901162573</v>
      </c>
      <c r="G42" s="505"/>
      <c r="H42" s="429"/>
      <c r="I42" s="501" t="s">
        <v>65</v>
      </c>
      <c r="J42" s="545">
        <f>(I23*D26*60)/(C7*E7*0.000000000001*I8*6.022E+23)</f>
        <v>1.5964360681116344E-2</v>
      </c>
      <c r="K42" s="546"/>
      <c r="L42" s="9"/>
      <c r="M42" s="36"/>
      <c r="N42" s="36"/>
      <c r="O42" s="44"/>
      <c r="P42" s="10"/>
      <c r="Q42" s="10"/>
    </row>
    <row r="43" spans="1:17" s="25" customFormat="1" ht="15" customHeight="1">
      <c r="A43" s="82" t="s">
        <v>36</v>
      </c>
      <c r="B43" s="83"/>
      <c r="C43" s="83"/>
      <c r="D43" s="84" t="s">
        <v>9</v>
      </c>
      <c r="E43" s="84" t="s">
        <v>10</v>
      </c>
      <c r="F43" s="84" t="s">
        <v>31</v>
      </c>
      <c r="G43" s="84"/>
      <c r="H43" s="85"/>
      <c r="I43" s="84" t="s">
        <v>9</v>
      </c>
      <c r="J43" s="84" t="s">
        <v>10</v>
      </c>
      <c r="K43" s="86" t="s">
        <v>31</v>
      </c>
      <c r="L43" s="23"/>
      <c r="M43" s="49"/>
      <c r="N43" s="49"/>
      <c r="O43" s="50"/>
      <c r="P43" s="24"/>
      <c r="Q43" s="24"/>
    </row>
    <row r="44" spans="1:17" ht="15" customHeight="1">
      <c r="A44" s="533"/>
      <c r="B44" s="521"/>
      <c r="C44" s="513" t="s">
        <v>37</v>
      </c>
      <c r="D44" s="503">
        <f>I38/(I29*1000)</f>
        <v>8.6695661677998442E-2</v>
      </c>
      <c r="E44" s="503">
        <f>F44*D44/1000</f>
        <v>1.7387669958005439E-3</v>
      </c>
      <c r="F44" s="504">
        <f>SQRT(K39^2+K29^2)</f>
        <v>20.055986218302394</v>
      </c>
      <c r="G44" s="505"/>
      <c r="H44" s="513" t="s">
        <v>38</v>
      </c>
      <c r="I44" s="503">
        <f>D44*J50/J52</f>
        <v>2.7650397173369694E-2</v>
      </c>
      <c r="J44" s="503">
        <f>F44*I44/1000</f>
        <v>5.5455598463969007E-4</v>
      </c>
      <c r="K44" s="504">
        <f>J44/I44*1000</f>
        <v>20.055986218302394</v>
      </c>
      <c r="L44" s="9"/>
      <c r="M44" s="36"/>
      <c r="N44" s="36"/>
      <c r="O44" s="41"/>
      <c r="P44" s="10"/>
      <c r="Q44" s="10"/>
    </row>
    <row r="45" spans="1:17" ht="15" customHeight="1">
      <c r="A45" s="533"/>
      <c r="B45" s="521"/>
      <c r="C45" s="513" t="s">
        <v>39</v>
      </c>
      <c r="D45" s="542">
        <f>(D41/(I32/238.051))/1000</f>
        <v>9.2878417059173937E-6</v>
      </c>
      <c r="E45" s="542">
        <f>F45*D45/1000</f>
        <v>1.5055500691920531E-8</v>
      </c>
      <c r="F45" s="504">
        <f>SQRT(F41^2+K29^2)</f>
        <v>1.6209902331053396</v>
      </c>
      <c r="G45" s="505"/>
      <c r="H45" s="513" t="s">
        <v>40</v>
      </c>
      <c r="I45" s="547">
        <f>D45*J49/J52</f>
        <v>0.54906910791597818</v>
      </c>
      <c r="J45" s="547">
        <f>F45*I45/1000</f>
        <v>8.9003566123166237E-4</v>
      </c>
      <c r="K45" s="504">
        <f>J45/I45*1000</f>
        <v>1.6209902331053396</v>
      </c>
      <c r="L45" s="9"/>
      <c r="M45" s="36"/>
      <c r="N45" s="36"/>
      <c r="O45" s="41"/>
      <c r="P45" s="10"/>
      <c r="Q45" s="10"/>
    </row>
    <row r="46" spans="1:17" ht="15" customHeight="1">
      <c r="A46" s="533"/>
      <c r="B46" s="521"/>
      <c r="C46" s="513" t="s">
        <v>41</v>
      </c>
      <c r="D46" s="503">
        <f>D45/(D33*0.000001)</f>
        <v>9.2600376659229003E-2</v>
      </c>
      <c r="E46" s="503">
        <f>F46*D46/1000</f>
        <v>1.9005290563026454E-4</v>
      </c>
      <c r="F46" s="504">
        <f>SQRT(F45^2+F33^2)</f>
        <v>2.0523988399060462</v>
      </c>
      <c r="G46" s="509"/>
      <c r="H46" s="513" t="s">
        <v>42</v>
      </c>
      <c r="I46" s="503">
        <f>D46*J49/J51</f>
        <v>0.30091263576512789</v>
      </c>
      <c r="J46" s="503">
        <f>F46*I46/1000</f>
        <v>6.1759274455741912E-4</v>
      </c>
      <c r="K46" s="504">
        <f>J46/I46*1000</f>
        <v>2.0523988399060462</v>
      </c>
      <c r="L46" s="9"/>
      <c r="M46" s="36"/>
      <c r="N46" s="36"/>
      <c r="O46" s="36"/>
      <c r="P46" s="10"/>
      <c r="Q46" s="10"/>
    </row>
    <row r="47" spans="1:17" ht="15" customHeight="1">
      <c r="A47" s="75" t="s">
        <v>53</v>
      </c>
      <c r="B47" s="76"/>
      <c r="C47" s="77"/>
      <c r="D47" s="78"/>
      <c r="E47" s="79"/>
      <c r="F47" s="78"/>
      <c r="G47" s="78"/>
      <c r="H47" s="78"/>
      <c r="I47" s="80"/>
      <c r="J47" s="77"/>
      <c r="K47" s="81"/>
      <c r="L47" s="9"/>
      <c r="M47" s="36"/>
      <c r="O47" s="36"/>
      <c r="P47" s="10"/>
      <c r="Q47" s="10"/>
    </row>
    <row r="48" spans="1:17" ht="15" customHeight="1">
      <c r="A48" s="110"/>
      <c r="B48" s="87"/>
      <c r="C48" s="88"/>
      <c r="D48" s="89" t="s">
        <v>94</v>
      </c>
      <c r="E48" s="90">
        <v>37958.316466967219</v>
      </c>
      <c r="F48" s="91">
        <f>I45-(1-EXP(-J49*E48)+(I33/1000)*(J49/(J49-J51))*(1-EXP((J51-J49)*E48)))</f>
        <v>5.1070259132757201E-15</v>
      </c>
      <c r="G48" s="92"/>
      <c r="H48" s="92"/>
      <c r="I48" s="93" t="s">
        <v>50</v>
      </c>
      <c r="J48" s="94"/>
      <c r="K48" s="95"/>
      <c r="L48" s="36"/>
      <c r="M48" s="36"/>
      <c r="N48" s="36"/>
      <c r="O48" s="36"/>
      <c r="P48" s="10"/>
      <c r="Q48" s="10"/>
    </row>
    <row r="49" spans="1:17" ht="15" customHeight="1">
      <c r="A49" s="111"/>
      <c r="B49" s="96"/>
      <c r="C49" s="97"/>
      <c r="D49" s="98" t="s">
        <v>43</v>
      </c>
      <c r="E49" s="99">
        <v>38030.010070105018</v>
      </c>
      <c r="F49" s="91">
        <f>(I45+J45)-(1-EXP(-J49*E49)+(I33/1000)*(J49/(J49-J51))*(1-EXP((J51-J49)*E49)))</f>
        <v>5.2180482157382357E-15</v>
      </c>
      <c r="G49" s="100"/>
      <c r="H49" s="96"/>
      <c r="I49" s="101" t="s">
        <v>44</v>
      </c>
      <c r="J49" s="263">
        <f>0.0000091577*1.0014</f>
        <v>9.170520780000001E-6</v>
      </c>
      <c r="K49" s="102"/>
      <c r="L49" s="36"/>
      <c r="M49" s="36"/>
      <c r="N49" s="414"/>
      <c r="O49" s="36"/>
      <c r="P49" s="10"/>
      <c r="Q49" s="10"/>
    </row>
    <row r="50" spans="1:17" ht="15" customHeight="1">
      <c r="A50" s="111"/>
      <c r="B50" s="103"/>
      <c r="C50" s="104"/>
      <c r="D50" s="98" t="s">
        <v>45</v>
      </c>
      <c r="E50" s="99">
        <v>37886.663035246944</v>
      </c>
      <c r="F50" s="91">
        <f>I45-J45-(1-EXP(-J49*E50)+(I33/1000)*(J49/(J49-J51))*(1-EXP((J51-J49)*E50)))</f>
        <v>4.9960036108132044E-15</v>
      </c>
      <c r="G50" s="100"/>
      <c r="H50" s="96"/>
      <c r="I50" s="101" t="s">
        <v>46</v>
      </c>
      <c r="J50" s="105">
        <v>4.9475000000000002E-11</v>
      </c>
      <c r="K50" s="102"/>
      <c r="L50" s="36"/>
      <c r="M50" s="36"/>
      <c r="N50" s="416"/>
      <c r="O50" s="36"/>
      <c r="P50" s="10"/>
      <c r="Q50" s="10"/>
    </row>
    <row r="51" spans="1:17" ht="15" customHeight="1">
      <c r="A51" s="111"/>
      <c r="B51" s="96"/>
      <c r="C51" s="96"/>
      <c r="D51" s="98" t="s">
        <v>92</v>
      </c>
      <c r="E51" s="99">
        <v>37901.186503298086</v>
      </c>
      <c r="F51" s="91">
        <f>I45-(1-EXP(-J49*E51)+((I33+J33)/1000)*(J49/(J49-J51))*(1-EXP((J51-J49)*E51)))</f>
        <v>4.9960036108132044E-15</v>
      </c>
      <c r="G51" s="100"/>
      <c r="H51" s="96"/>
      <c r="I51" s="101" t="s">
        <v>47</v>
      </c>
      <c r="J51" s="263">
        <f>0.0000028263*0.9985</f>
        <v>2.8220605500000003E-6</v>
      </c>
      <c r="K51" s="102"/>
      <c r="L51" s="36"/>
      <c r="M51" s="36"/>
      <c r="N51" s="416"/>
      <c r="O51" s="36"/>
      <c r="P51" s="10"/>
      <c r="Q51" s="10"/>
    </row>
    <row r="52" spans="1:17" ht="15" customHeight="1">
      <c r="A52" s="111"/>
      <c r="B52" s="96"/>
      <c r="C52" s="106"/>
      <c r="D52" s="98" t="s">
        <v>93</v>
      </c>
      <c r="E52" s="99">
        <v>38015.624587634964</v>
      </c>
      <c r="F52" s="91">
        <f>I45-(1-EXP(-J49*E52)+((I33-J33)/1000)*(J49/(J49-J51))*(1-EXP((J51-J49)*E52)))</f>
        <v>5.3290705182007514E-15</v>
      </c>
      <c r="G52" s="100"/>
      <c r="H52" s="96"/>
      <c r="I52" s="101" t="s">
        <v>48</v>
      </c>
      <c r="J52" s="107">
        <v>1.5512499999999999E-10</v>
      </c>
      <c r="K52" s="102"/>
      <c r="L52" s="36"/>
      <c r="M52" s="58"/>
      <c r="N52" s="36"/>
      <c r="O52" s="36"/>
      <c r="P52" s="10"/>
      <c r="Q52" s="10"/>
    </row>
    <row r="53" spans="1:17" ht="7.35" customHeight="1" thickBot="1">
      <c r="A53" s="111"/>
      <c r="B53" s="96"/>
      <c r="C53" s="96"/>
      <c r="D53" s="96"/>
      <c r="E53" s="96"/>
      <c r="F53" s="104"/>
      <c r="G53" s="35"/>
      <c r="H53" s="35"/>
      <c r="I53" s="108"/>
      <c r="J53" s="35"/>
      <c r="K53" s="109"/>
      <c r="L53" s="9"/>
      <c r="M53" s="44"/>
      <c r="N53" s="44"/>
      <c r="O53" s="44"/>
      <c r="P53" s="10"/>
    </row>
    <row r="54" spans="1:17" ht="21" customHeight="1" thickTop="1" thickBot="1">
      <c r="A54" s="68" t="s">
        <v>18</v>
      </c>
      <c r="B54" s="63"/>
      <c r="C54" s="64"/>
      <c r="D54" s="65" t="s">
        <v>49</v>
      </c>
      <c r="E54" s="66">
        <v>4.4000000000000002E-6</v>
      </c>
      <c r="F54" s="67">
        <f>E54/2</f>
        <v>2.2000000000000001E-6</v>
      </c>
      <c r="G54" s="35"/>
      <c r="H54" s="60" t="str">
        <f>C1</f>
        <v>Sample No</v>
      </c>
      <c r="I54" s="61"/>
      <c r="J54" s="62"/>
      <c r="K54" s="74"/>
      <c r="L54" s="9"/>
      <c r="M54" s="10"/>
      <c r="N54" s="417"/>
      <c r="O54" s="10"/>
      <c r="P54" s="10"/>
    </row>
    <row r="55" spans="1:17" ht="15" customHeight="1">
      <c r="A55" s="113"/>
      <c r="B55" s="114" t="s">
        <v>97</v>
      </c>
      <c r="C55" s="115">
        <f>E54*EXP(-J49*E57)</f>
        <v>3.1435286159085489E-6</v>
      </c>
      <c r="D55" s="241">
        <f>C55*F54/E54</f>
        <v>1.5717643079542745E-6</v>
      </c>
      <c r="E55" s="116"/>
      <c r="F55" s="117"/>
      <c r="G55" s="118"/>
      <c r="H55" s="119" t="s">
        <v>98</v>
      </c>
      <c r="I55" s="120"/>
      <c r="J55" s="121"/>
      <c r="K55" s="122"/>
      <c r="L55" s="9"/>
      <c r="M55" s="10"/>
      <c r="N55" s="10"/>
      <c r="O55" s="10"/>
      <c r="P55" s="10"/>
    </row>
    <row r="56" spans="1:17" ht="15" customHeight="1">
      <c r="A56" s="123"/>
      <c r="B56" s="124"/>
      <c r="C56" s="125" t="s">
        <v>99</v>
      </c>
      <c r="D56" s="126">
        <f>(D41-C55*I38)*J49/(I31*1000*J52)</f>
        <v>0.53295667574128702</v>
      </c>
      <c r="E56" s="127">
        <f>D56*SQRT((SQRT(((C55*I38)*SQRT((D55/C55)^2+(J38/I38)^2))^2+E41^2)/(D41-C55*I38))^2+(J31/I31)^2)</f>
        <v>8.1101596323890236E-3</v>
      </c>
      <c r="F56" s="128">
        <f>1000*E56/D56</f>
        <v>15.217296267297224</v>
      </c>
      <c r="G56" s="118"/>
      <c r="H56" s="129" t="s">
        <v>100</v>
      </c>
      <c r="I56" s="130">
        <f>D42</f>
        <v>11.003147486316287</v>
      </c>
      <c r="J56" s="131">
        <f>E42</f>
        <v>1.3323885032158398E-2</v>
      </c>
      <c r="K56" s="132" t="s">
        <v>101</v>
      </c>
      <c r="L56" s="9"/>
      <c r="M56" s="10"/>
      <c r="N56" s="10"/>
      <c r="O56" s="10"/>
      <c r="P56" s="10"/>
    </row>
    <row r="57" spans="1:17" ht="15" customHeight="1">
      <c r="A57" s="113"/>
      <c r="B57" s="124"/>
      <c r="C57" s="124"/>
      <c r="D57" s="125" t="s">
        <v>102</v>
      </c>
      <c r="E57" s="139">
        <v>36667.340600571421</v>
      </c>
      <c r="F57" s="134">
        <f>D56-(1-EXP(-J49*E57)+(I33/1000)*(J49/(J49-J51))*(1-EXP((J51-J49)*E57)))</f>
        <v>8.5376150593674538E-14</v>
      </c>
      <c r="G57" s="118"/>
      <c r="H57" s="129" t="s">
        <v>103</v>
      </c>
      <c r="I57" s="135">
        <f>I39</f>
        <v>103604.38299295795</v>
      </c>
      <c r="J57" s="136">
        <f>J39</f>
        <v>2074.8864316293939</v>
      </c>
      <c r="K57" s="132" t="s">
        <v>101</v>
      </c>
    </row>
    <row r="58" spans="1:17" ht="15" customHeight="1">
      <c r="A58" s="113"/>
      <c r="B58" s="124"/>
      <c r="C58" s="137"/>
      <c r="D58" s="138" t="s">
        <v>104</v>
      </c>
      <c r="E58" s="139">
        <v>37315.521333438002</v>
      </c>
      <c r="F58" s="134">
        <f>(D56+E56)-(1-EXP(-J49*E58)+(I33/1000)*(J49/(J49-J51))*(1-EXP((J51-J49)*E58)))</f>
        <v>2.9976021664879227E-14</v>
      </c>
      <c r="G58" s="118"/>
      <c r="H58" s="129" t="s">
        <v>22</v>
      </c>
      <c r="I58" s="218">
        <f>I40*1000000</f>
        <v>107.12634811255396</v>
      </c>
      <c r="J58" s="227">
        <f>J40*1000000</f>
        <v>2.1493390313303995</v>
      </c>
      <c r="K58" s="132" t="s">
        <v>19</v>
      </c>
      <c r="N58" s="415"/>
    </row>
    <row r="59" spans="1:17" ht="15" customHeight="1">
      <c r="A59" s="113"/>
      <c r="B59" s="140"/>
      <c r="C59" s="141"/>
      <c r="D59" s="138" t="s">
        <v>105</v>
      </c>
      <c r="E59" s="139">
        <v>36022.429800294754</v>
      </c>
      <c r="F59" s="134">
        <f>(D56-E56)-(1-EXP(-J49*E59)+(I33/1000)*(J49/(J49-J51))*(1-EXP((J51-J49)*E59)))</f>
        <v>2.1826984664130578E-13</v>
      </c>
      <c r="G59" s="118"/>
      <c r="H59" s="129" t="s">
        <v>106</v>
      </c>
      <c r="I59" s="135">
        <f>I32</f>
        <v>1225.9753852153774</v>
      </c>
      <c r="J59" s="228">
        <f>J32</f>
        <v>1.3212143128156013</v>
      </c>
      <c r="K59" s="132" t="s">
        <v>20</v>
      </c>
    </row>
    <row r="60" spans="1:17" ht="15" customHeight="1">
      <c r="A60" s="142"/>
      <c r="B60" s="124"/>
      <c r="C60" s="124"/>
      <c r="D60" s="138" t="s">
        <v>107</v>
      </c>
      <c r="E60" s="139">
        <v>36612.491968523747</v>
      </c>
      <c r="F60" s="134">
        <f>D56-(1-EXP(-J49*E60)+((I33+J33)/1000)*(J49/(J49-J51))*(1-EXP((J51-J49)*E60)))</f>
        <v>8.5043083686286991E-14</v>
      </c>
      <c r="G60" s="118"/>
      <c r="H60" s="143" t="s">
        <v>108</v>
      </c>
      <c r="I60" s="144">
        <f>I33*EXP(J51*E48)</f>
        <v>917.9247850223627</v>
      </c>
      <c r="J60" s="418">
        <f>SQRT((J33*EXP(J51*E48))^2+(I33*EXP(J51*(E48+J63))-I60)^2)</f>
        <v>2.5677728863307849</v>
      </c>
      <c r="K60" s="145">
        <f>SQRT((J33*EXP(J51*E48))^2+(I33*EXP(J51*(E48-K63))-I60)^2)</f>
        <v>2.5677330327263643</v>
      </c>
    </row>
    <row r="61" spans="1:17" ht="15" customHeight="1">
      <c r="A61" s="113"/>
      <c r="B61" s="124"/>
      <c r="C61" s="146"/>
      <c r="D61" s="138" t="s">
        <v>109</v>
      </c>
      <c r="E61" s="139">
        <v>36722.35902120141</v>
      </c>
      <c r="F61" s="134">
        <f>D56-(1-EXP(-J49*E61)+((I33-J33)/1000)*(J49/(J49-J51))*(1-EXP((J51-J49)*E61)))</f>
        <v>9.0039087297100195E-14</v>
      </c>
      <c r="G61" s="118"/>
      <c r="H61" s="143" t="s">
        <v>110</v>
      </c>
      <c r="I61" s="288">
        <f>I33</f>
        <v>824.67946724757883</v>
      </c>
      <c r="J61" s="289">
        <f>J33</f>
        <v>2.2970182862025914</v>
      </c>
      <c r="K61" s="147"/>
      <c r="L61" s="59"/>
    </row>
    <row r="62" spans="1:17" ht="15" customHeight="1">
      <c r="A62" s="113"/>
      <c r="B62" s="114" t="s">
        <v>111</v>
      </c>
      <c r="C62" s="115">
        <f>(E54+F54)*EXP(-J49*F63)</f>
        <v>4.743575763399194E-6</v>
      </c>
      <c r="D62" s="148"/>
      <c r="E62" s="116"/>
      <c r="F62" s="124"/>
      <c r="G62" s="118"/>
      <c r="H62" s="149" t="s">
        <v>23</v>
      </c>
      <c r="I62" s="169">
        <f>I45</f>
        <v>0.54906910791597818</v>
      </c>
      <c r="J62" s="168">
        <f>J45</f>
        <v>8.9003566123166237E-4</v>
      </c>
      <c r="K62" s="147"/>
    </row>
    <row r="63" spans="1:17" ht="16.5" customHeight="1">
      <c r="A63" s="123"/>
      <c r="B63" s="124"/>
      <c r="C63" s="125" t="s">
        <v>99</v>
      </c>
      <c r="D63" s="126">
        <f>(D41-C62*I38)*J49/(I31*1000*J52)</f>
        <v>0.52475574588687535</v>
      </c>
      <c r="E63" s="125" t="s">
        <v>112</v>
      </c>
      <c r="F63" s="133">
        <v>36015.2302346508</v>
      </c>
      <c r="G63" s="134">
        <f>D63-(1-EXP(-J49*F63)+(I33/1000)*(J49/(J49-J51))*(1-EXP((J51-J49)*F63)))</f>
        <v>2.361444373377708E-13</v>
      </c>
      <c r="H63" s="150" t="s">
        <v>113</v>
      </c>
      <c r="I63" s="151">
        <f>E48</f>
        <v>37958.316466967219</v>
      </c>
      <c r="J63" s="152">
        <f>SQRT((E49-E48)^2+(E52-E48)^2)</f>
        <v>91.783404956174309</v>
      </c>
      <c r="K63" s="153">
        <f>SQRT((E50-E48)^2+(E51-E48)^2)</f>
        <v>91.640858933821363</v>
      </c>
    </row>
    <row r="64" spans="1:17" ht="18" customHeight="1">
      <c r="A64" s="113"/>
      <c r="B64" s="114" t="s">
        <v>114</v>
      </c>
      <c r="C64" s="115">
        <f>(E54-F54)*EXP(-J49*F65)</f>
        <v>1.5624566562148812E-6</v>
      </c>
      <c r="D64" s="148"/>
      <c r="E64" s="116"/>
      <c r="F64" s="124"/>
      <c r="G64" s="141"/>
      <c r="H64" s="154" t="s">
        <v>115</v>
      </c>
      <c r="I64" s="155"/>
      <c r="J64" s="155"/>
      <c r="K64" s="156"/>
    </row>
    <row r="65" spans="1:26" ht="17.25" customHeight="1">
      <c r="A65" s="123"/>
      <c r="B65" s="124"/>
      <c r="C65" s="125" t="s">
        <v>99</v>
      </c>
      <c r="D65" s="126">
        <f>(D41-C64*I38)*J49/(I31*1000*J52)</f>
        <v>0.54106034959649818</v>
      </c>
      <c r="E65" s="125" t="s">
        <v>112</v>
      </c>
      <c r="F65" s="157">
        <v>37315.001661561932</v>
      </c>
      <c r="G65" s="134">
        <f>D65-(1-EXP(-J49*F65)+(I33/1000)*(J49/(J49-J51))*(1-EXP((J51-J49)*F65)))</f>
        <v>2.5424107263916085E-14</v>
      </c>
      <c r="H65" s="158" t="s">
        <v>21</v>
      </c>
      <c r="I65" s="159">
        <f>E57</f>
        <v>36667.340600571421</v>
      </c>
      <c r="J65" s="229">
        <f>SQRT((E58-E57)^2+(E61-E57)^2+(F65-E57)^2)</f>
        <v>917.94887602275105</v>
      </c>
      <c r="K65" s="230">
        <f>SQRT((E60-E57)^2+(E59-E57)^2+(F63-E57)^2)</f>
        <v>918.78519910374916</v>
      </c>
    </row>
    <row r="66" spans="1:26" ht="17.25" customHeight="1" thickBot="1">
      <c r="A66" s="160"/>
      <c r="B66" s="161"/>
      <c r="C66" s="161"/>
      <c r="D66" s="162"/>
      <c r="E66" s="163"/>
      <c r="F66" s="163"/>
      <c r="G66" s="161"/>
      <c r="H66" s="164" t="s">
        <v>116</v>
      </c>
      <c r="I66" s="165">
        <f>I33*EXP(J51*E57)</f>
        <v>914.58667478609755</v>
      </c>
      <c r="J66" s="166">
        <f>SQRT((J33*EXP(J51*E57))^2+(I33*EXP(J51*(I65+J65))-I66)^2)</f>
        <v>3.4809960881954409</v>
      </c>
      <c r="K66" s="167">
        <f>SQRT((J33*EXP(J51*E57))^2+(I33*EXP(J51*(I65-K65))-I66)^2)</f>
        <v>3.4782818094806371</v>
      </c>
      <c r="M66" s="39"/>
      <c r="N66" s="41"/>
      <c r="O66" s="52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</row>
    <row r="67" spans="1:26" ht="14.25" customHeight="1" thickTop="1">
      <c r="A67" s="36"/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</row>
    <row r="68" spans="1:26" ht="9" customHeight="1" thickBot="1">
      <c r="A68" s="36"/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</row>
    <row r="69" spans="1:26" ht="15" customHeight="1">
      <c r="A69" s="231"/>
      <c r="B69" s="232"/>
      <c r="C69" s="232"/>
      <c r="D69" s="233"/>
      <c r="E69" s="232"/>
      <c r="F69" s="233"/>
      <c r="G69" s="233"/>
      <c r="H69" s="232"/>
      <c r="I69" s="233"/>
      <c r="J69" s="233"/>
      <c r="K69" s="233"/>
      <c r="L69" s="233"/>
      <c r="M69" s="233"/>
      <c r="N69" s="36"/>
      <c r="O69" s="36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</row>
    <row r="70" spans="1:26" ht="4.5" customHeight="1">
      <c r="A70" s="177"/>
      <c r="B70" s="177"/>
      <c r="C70" s="173"/>
      <c r="D70" s="174"/>
      <c r="E70" s="174"/>
      <c r="F70" s="175"/>
      <c r="G70" s="176"/>
      <c r="H70" s="179"/>
      <c r="I70" s="177"/>
      <c r="J70" s="178"/>
      <c r="K70" s="179"/>
      <c r="L70" s="180"/>
      <c r="M70" s="179"/>
    </row>
    <row r="71" spans="1:26" ht="12.75" customHeight="1">
      <c r="A71" s="204"/>
      <c r="B71" s="205"/>
      <c r="C71" s="205"/>
      <c r="D71" s="205"/>
      <c r="E71" s="206"/>
      <c r="F71" s="206"/>
      <c r="G71" s="206"/>
      <c r="H71" s="207"/>
      <c r="I71" s="204"/>
      <c r="J71" s="204"/>
      <c r="K71" s="204"/>
      <c r="L71" s="208"/>
      <c r="M71" s="209"/>
    </row>
    <row r="72" spans="1:26" ht="12.75" customHeight="1">
      <c r="A72" s="182" t="s">
        <v>123</v>
      </c>
      <c r="B72" s="561" t="s">
        <v>124</v>
      </c>
      <c r="C72" s="559"/>
      <c r="D72" s="561" t="s">
        <v>125</v>
      </c>
      <c r="E72" s="561"/>
      <c r="F72" s="561" t="s">
        <v>135</v>
      </c>
      <c r="G72" s="561"/>
      <c r="H72" s="557" t="s">
        <v>131</v>
      </c>
      <c r="I72" s="557"/>
      <c r="J72" s="561" t="s">
        <v>132</v>
      </c>
      <c r="K72" s="561"/>
      <c r="L72" s="561" t="s">
        <v>126</v>
      </c>
      <c r="M72" s="561"/>
      <c r="N72" s="561" t="s">
        <v>126</v>
      </c>
      <c r="O72" s="561"/>
      <c r="P72" s="557" t="s">
        <v>133</v>
      </c>
      <c r="Q72" s="559"/>
    </row>
    <row r="73" spans="1:26" ht="12.75" customHeight="1">
      <c r="A73" s="398" t="s">
        <v>119</v>
      </c>
      <c r="B73" s="558" t="s">
        <v>120</v>
      </c>
      <c r="C73" s="560"/>
      <c r="D73" s="558" t="s">
        <v>121</v>
      </c>
      <c r="E73" s="558"/>
      <c r="F73" s="558" t="s">
        <v>134</v>
      </c>
      <c r="G73" s="558"/>
      <c r="H73" s="558" t="s">
        <v>127</v>
      </c>
      <c r="I73" s="558"/>
      <c r="J73" s="558" t="s">
        <v>128</v>
      </c>
      <c r="K73" s="558"/>
      <c r="L73" s="558" t="s">
        <v>122</v>
      </c>
      <c r="M73" s="558"/>
      <c r="N73" s="558" t="s">
        <v>129</v>
      </c>
      <c r="O73" s="558"/>
      <c r="P73" s="558" t="s">
        <v>129</v>
      </c>
      <c r="Q73" s="560"/>
    </row>
    <row r="74" spans="1:26" ht="9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26" ht="12.75" customHeight="1">
      <c r="A75" s="250" t="str">
        <f>C2</f>
        <v>Sample No</v>
      </c>
      <c r="B75" s="210">
        <f>I59</f>
        <v>1225.9753852153774</v>
      </c>
      <c r="C75" s="210">
        <f>J59</f>
        <v>1.3212143128156013</v>
      </c>
      <c r="D75" s="211">
        <f>I57</f>
        <v>103604.38299295795</v>
      </c>
      <c r="E75" s="234">
        <f>J57</f>
        <v>2074.8864316293939</v>
      </c>
      <c r="F75" s="210">
        <f>I58</f>
        <v>107.12634811255396</v>
      </c>
      <c r="G75" s="210">
        <f>J58</f>
        <v>2.1493390313303995</v>
      </c>
      <c r="H75" s="235">
        <f>I61</f>
        <v>824.67946724757883</v>
      </c>
      <c r="I75" s="212">
        <f>J61</f>
        <v>2.2970182862025914</v>
      </c>
      <c r="J75" s="213">
        <f>I62</f>
        <v>0.54906910791597818</v>
      </c>
      <c r="K75" s="214">
        <f>J62</f>
        <v>8.9003566123166237E-4</v>
      </c>
      <c r="L75" s="215">
        <f>I63</f>
        <v>37958.316466967219</v>
      </c>
      <c r="M75" s="211">
        <f>(J63+K63)/2</f>
        <v>91.712131944997836</v>
      </c>
      <c r="N75" s="211">
        <f>I65</f>
        <v>36667.340600571421</v>
      </c>
      <c r="O75" s="211">
        <f>(J65+K65)/2</f>
        <v>918.36703756325005</v>
      </c>
      <c r="P75" s="210">
        <f>I66</f>
        <v>914.58667478609755</v>
      </c>
      <c r="Q75" s="216">
        <f>(J66+K66)/2</f>
        <v>3.4796389488380388</v>
      </c>
    </row>
    <row r="76" spans="1:26" ht="9.75" customHeight="1">
      <c r="A76" s="217"/>
      <c r="B76" s="217"/>
      <c r="C76" s="217"/>
      <c r="D76" s="217"/>
      <c r="E76" s="217"/>
      <c r="F76" s="217"/>
      <c r="G76" s="217"/>
      <c r="H76" s="217"/>
      <c r="I76" s="217"/>
      <c r="J76" s="217"/>
      <c r="K76" s="217"/>
      <c r="L76" s="217"/>
      <c r="M76" s="217"/>
      <c r="N76" s="217"/>
      <c r="O76" s="217"/>
      <c r="P76" s="217"/>
      <c r="Q76" s="217"/>
    </row>
  </sheetData>
  <mergeCells count="16">
    <mergeCell ref="N72:O72"/>
    <mergeCell ref="P72:Q72"/>
    <mergeCell ref="B73:C73"/>
    <mergeCell ref="D73:E73"/>
    <mergeCell ref="F73:G73"/>
    <mergeCell ref="H73:I73"/>
    <mergeCell ref="J73:K73"/>
    <mergeCell ref="L73:M73"/>
    <mergeCell ref="N73:O73"/>
    <mergeCell ref="P73:Q73"/>
    <mergeCell ref="B72:C72"/>
    <mergeCell ref="D72:E72"/>
    <mergeCell ref="F72:G72"/>
    <mergeCell ref="H72:I72"/>
    <mergeCell ref="J72:K72"/>
    <mergeCell ref="L72:M72"/>
  </mergeCells>
  <printOptions horizontalCentered="1" verticalCentered="1" gridLinesSet="0"/>
  <pageMargins left="0.25" right="0.25" top="0.25" bottom="0.25" header="0.25" footer="0.25"/>
  <pageSetup orientation="portrait" horizontalDpi="4294967292" vertic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Line="0" autoPict="0" macro="[0]!AgeCalculate">
                <anchor moveWithCells="1" sizeWithCells="1">
                  <from>
                    <xdr:col>7</xdr:col>
                    <xdr:colOff>104775</xdr:colOff>
                    <xdr:row>47</xdr:row>
                    <xdr:rowOff>133350</xdr:rowOff>
                  </from>
                  <to>
                    <xdr:col>7</xdr:col>
                    <xdr:colOff>1295400</xdr:colOff>
                    <xdr:row>51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J1006"/>
  <sheetViews>
    <sheetView zoomScale="90" zoomScaleNormal="90" zoomScalePageLayoutView="90" workbookViewId="0">
      <selection activeCell="H22" sqref="H22"/>
    </sheetView>
  </sheetViews>
  <sheetFormatPr baseColWidth="10" defaultColWidth="10.25" defaultRowHeight="12.75"/>
  <cols>
    <col min="1" max="1" width="15.75" style="305" customWidth="1"/>
    <col min="2" max="2" width="12.75" style="305" bestFit="1" customWidth="1"/>
    <col min="3" max="3" width="10.25" style="305" customWidth="1"/>
    <col min="4" max="4" width="8.25" style="305" customWidth="1"/>
    <col min="5" max="5" width="8" style="305" customWidth="1"/>
    <col min="6" max="6" width="9.25" style="305" customWidth="1"/>
    <col min="7" max="7" width="6.25" style="305" customWidth="1"/>
    <col min="8" max="8" width="4" style="305" customWidth="1"/>
    <col min="9" max="9" width="2.25" style="305" customWidth="1"/>
    <col min="10" max="10" width="10.25" style="305" customWidth="1"/>
    <col min="11" max="11" width="1.75" style="305" customWidth="1"/>
    <col min="12" max="12" width="7.75" style="391" customWidth="1"/>
    <col min="13" max="13" width="7.25" style="391" customWidth="1"/>
    <col min="14" max="15" width="10.25" style="391" customWidth="1"/>
    <col min="16" max="16" width="10" style="391" customWidth="1"/>
    <col min="17" max="17" width="2.25" style="305" customWidth="1"/>
    <col min="18" max="18" width="10" style="305" customWidth="1"/>
    <col min="19" max="19" width="10.25" style="391" customWidth="1"/>
    <col min="20" max="16384" width="10.25" style="305"/>
  </cols>
  <sheetData>
    <row r="1" spans="1:19" s="219" customFormat="1">
      <c r="A1" s="295">
        <v>42601</v>
      </c>
      <c r="B1" s="225" t="s">
        <v>207</v>
      </c>
      <c r="C1" s="305"/>
      <c r="D1" s="305"/>
      <c r="E1" s="305"/>
      <c r="F1" s="305"/>
      <c r="J1" s="219" t="s">
        <v>208</v>
      </c>
      <c r="L1" s="306" t="s">
        <v>209</v>
      </c>
      <c r="M1" s="306" t="s">
        <v>210</v>
      </c>
      <c r="N1" s="307" t="s">
        <v>211</v>
      </c>
      <c r="O1" s="308" t="s">
        <v>212</v>
      </c>
      <c r="P1" s="306" t="s">
        <v>213</v>
      </c>
      <c r="R1" s="219" t="s">
        <v>214</v>
      </c>
      <c r="S1" s="307" t="s">
        <v>211</v>
      </c>
    </row>
    <row r="2" spans="1:19">
      <c r="A2" s="309" t="s">
        <v>243</v>
      </c>
      <c r="B2" s="310"/>
      <c r="C2" s="311"/>
      <c r="D2" s="311" t="s">
        <v>215</v>
      </c>
      <c r="F2" s="312"/>
      <c r="I2" s="313"/>
      <c r="J2" s="314"/>
      <c r="L2" s="315">
        <v>278294</v>
      </c>
      <c r="M2" s="315">
        <v>10485.263671875</v>
      </c>
      <c r="N2" s="319">
        <v>3.61849255859851E-2</v>
      </c>
      <c r="O2" s="317">
        <v>35.231132507324197</v>
      </c>
      <c r="P2" s="318">
        <v>1.1297236680984499</v>
      </c>
      <c r="R2" s="305">
        <v>1</v>
      </c>
      <c r="S2" s="319">
        <v>3.61849255859851E-2</v>
      </c>
    </row>
    <row r="3" spans="1:19">
      <c r="A3" s="243" t="s">
        <v>216</v>
      </c>
      <c r="B3" s="407">
        <v>1.0182177574411904</v>
      </c>
      <c r="C3" s="408">
        <v>6.2808912231191686E-4</v>
      </c>
      <c r="D3" s="321">
        <f>C3/B3</f>
        <v>6.1685147182103989E-4</v>
      </c>
      <c r="E3" s="322">
        <f>(B3-B6)/B3</f>
        <v>7.0486765047753734E-5</v>
      </c>
      <c r="I3" s="313"/>
      <c r="J3" s="314"/>
      <c r="L3" s="315">
        <v>300364.5625</v>
      </c>
      <c r="M3" s="315">
        <v>11121.6884765625</v>
      </c>
      <c r="N3" s="319">
        <v>3.58561314642429E-2</v>
      </c>
      <c r="O3" s="317">
        <v>59.875129699707003</v>
      </c>
      <c r="P3" s="318">
        <v>1.9088985919952299</v>
      </c>
      <c r="R3" s="323" t="s">
        <v>217</v>
      </c>
      <c r="S3" s="319">
        <v>3.58561314642429E-2</v>
      </c>
    </row>
    <row r="4" spans="1:19">
      <c r="A4" s="324" t="s">
        <v>218</v>
      </c>
      <c r="B4" s="409">
        <v>4.2977986323072317</v>
      </c>
      <c r="C4" s="410">
        <v>3.166719247835586E-3</v>
      </c>
      <c r="D4" s="321">
        <f>C4/B4</f>
        <v>7.3682355055698905E-4</v>
      </c>
      <c r="G4" s="325"/>
      <c r="I4" s="313"/>
      <c r="J4" s="314"/>
      <c r="L4" s="315">
        <v>318997.875</v>
      </c>
      <c r="M4" s="315">
        <v>11638.28515625</v>
      </c>
      <c r="N4" s="319">
        <v>3.5834938287734902E-2</v>
      </c>
      <c r="O4" s="317">
        <v>48.175239562988203</v>
      </c>
      <c r="P4" s="318">
        <v>3.19025731086731</v>
      </c>
      <c r="R4" s="305">
        <v>28</v>
      </c>
      <c r="S4" s="319">
        <v>3.5834938287734902E-2</v>
      </c>
    </row>
    <row r="5" spans="1:19">
      <c r="A5" s="243" t="s">
        <v>190</v>
      </c>
      <c r="B5" s="326">
        <v>137.82</v>
      </c>
      <c r="C5" s="327">
        <v>0.04</v>
      </c>
      <c r="D5" s="328">
        <f>C5/B5</f>
        <v>2.9023363807865332E-4</v>
      </c>
      <c r="I5" s="313"/>
      <c r="J5" s="314"/>
      <c r="L5" s="315">
        <v>333273.21875</v>
      </c>
      <c r="M5" s="315">
        <v>12266.5908203125</v>
      </c>
      <c r="N5" s="319"/>
      <c r="O5" s="317">
        <v>22.6347122192382</v>
      </c>
      <c r="P5" s="318">
        <v>0.78679907321929898</v>
      </c>
      <c r="S5" s="319">
        <v>3.5601783543825101E-2</v>
      </c>
    </row>
    <row r="6" spans="1:19">
      <c r="A6" s="243" t="s">
        <v>219</v>
      </c>
      <c r="B6" s="329">
        <f>B3*(1-B31*B4*B5/B7)</f>
        <v>1.0181459865653542</v>
      </c>
      <c r="C6" s="330">
        <f>B6*SQRT(D3^2+(((B31*B5*B4/B7)*SQRT(C31^2+D5^2+D4^2))/(1-B31*B5*B4/B7))^2)</f>
        <v>6.2841382268900674E-4</v>
      </c>
      <c r="D6" s="321">
        <f>C6/B6</f>
        <v>6.1721386812997007E-4</v>
      </c>
      <c r="E6" s="305">
        <v>0.62437560211786303</v>
      </c>
      <c r="F6" s="324"/>
      <c r="I6" s="313"/>
      <c r="J6" s="314"/>
      <c r="L6" s="315">
        <v>350741.46875</v>
      </c>
      <c r="M6" s="315">
        <v>12470.2119140625</v>
      </c>
      <c r="N6" s="319">
        <v>3.5909280180931001E-2</v>
      </c>
      <c r="O6" s="317">
        <v>27.4003391265869</v>
      </c>
      <c r="P6" s="318">
        <v>0.86216431856155396</v>
      </c>
      <c r="S6" s="319">
        <v>3.5909280180931001E-2</v>
      </c>
    </row>
    <row r="7" spans="1:19">
      <c r="A7" s="243" t="s">
        <v>220</v>
      </c>
      <c r="B7" s="331">
        <f>D36</f>
        <v>1.0083979999999999</v>
      </c>
      <c r="C7" s="332"/>
      <c r="E7" s="305">
        <v>0.18032508364414812</v>
      </c>
      <c r="F7" s="320"/>
      <c r="I7" s="313"/>
      <c r="J7" s="314"/>
      <c r="L7" s="315">
        <v>349902.65625</v>
      </c>
      <c r="M7" s="315">
        <v>12854.1865234375</v>
      </c>
      <c r="N7" s="319"/>
      <c r="O7" s="317">
        <v>38.4878730773925</v>
      </c>
      <c r="P7" s="318">
        <v>1.5763070583343499</v>
      </c>
      <c r="S7" s="316">
        <v>3.63178960978984E-2</v>
      </c>
    </row>
    <row r="8" spans="1:19">
      <c r="A8" s="333"/>
      <c r="B8" s="334">
        <f>(B6-B7)/B6</f>
        <v>9.5742523115358094E-3</v>
      </c>
      <c r="C8" s="332"/>
      <c r="I8" s="313"/>
      <c r="J8" s="314"/>
      <c r="L8" s="315">
        <v>358565.28125</v>
      </c>
      <c r="M8" s="315">
        <v>13169.515625</v>
      </c>
      <c r="N8" s="319">
        <v>3.5844516009092303E-2</v>
      </c>
      <c r="O8" s="317">
        <v>33.328346252441399</v>
      </c>
      <c r="P8" s="318">
        <v>1.0719425678253101</v>
      </c>
      <c r="S8" s="319">
        <v>3.5844516009092303E-2</v>
      </c>
    </row>
    <row r="9" spans="1:19">
      <c r="G9" s="335">
        <v>28</v>
      </c>
      <c r="J9" s="314"/>
      <c r="L9" s="315">
        <v>370503.3125</v>
      </c>
      <c r="M9" s="315">
        <v>13157.8798828125</v>
      </c>
      <c r="N9" s="316">
        <v>3.5979978740215302E-2</v>
      </c>
      <c r="O9" s="317">
        <v>34.979747772216797</v>
      </c>
      <c r="P9" s="318">
        <v>1.7419012784957799</v>
      </c>
      <c r="S9" s="316">
        <v>3.5979978740215302E-2</v>
      </c>
    </row>
    <row r="10" spans="1:19">
      <c r="A10" s="324" t="s">
        <v>221</v>
      </c>
      <c r="B10" s="336">
        <f>N21</f>
        <v>3.5923607336978067E-2</v>
      </c>
      <c r="C10" s="336">
        <f>N24</f>
        <v>1.0016483830898569E-4</v>
      </c>
      <c r="D10" s="337">
        <f>C10/B10</f>
        <v>2.7882733871740306E-3</v>
      </c>
      <c r="J10" s="314"/>
      <c r="L10" s="315">
        <v>364373.34375</v>
      </c>
      <c r="M10" s="315">
        <v>13199.7685546875</v>
      </c>
      <c r="N10" s="316">
        <v>3.6075089126825298E-2</v>
      </c>
      <c r="O10" s="317">
        <v>21.697126388549801</v>
      </c>
      <c r="P10" s="318">
        <v>0.71564030647277799</v>
      </c>
      <c r="S10" s="316">
        <v>3.6075089126825298E-2</v>
      </c>
    </row>
    <row r="11" spans="1:19">
      <c r="A11" s="324" t="s">
        <v>222</v>
      </c>
      <c r="B11" s="338">
        <f>1/(O21/1.02)</f>
        <v>3.1844984964855216E-2</v>
      </c>
      <c r="C11" s="339">
        <f>B11*D11</f>
        <v>5.3556905543227142E-3</v>
      </c>
      <c r="D11" s="337">
        <f>MAX(O25, B27)</f>
        <v>0.16818003086619024</v>
      </c>
      <c r="J11" s="314"/>
      <c r="L11" s="315">
        <v>367004.34375</v>
      </c>
      <c r="M11" s="315">
        <v>13254.4580078125</v>
      </c>
      <c r="N11" s="319">
        <v>3.5893924534320797E-2</v>
      </c>
      <c r="O11" s="317">
        <v>31.807130813598601</v>
      </c>
      <c r="P11" s="318">
        <v>1.0531034469604399</v>
      </c>
      <c r="S11" s="319">
        <v>3.5893924534320797E-2</v>
      </c>
    </row>
    <row r="12" spans="1:19">
      <c r="A12" s="324" t="s">
        <v>223</v>
      </c>
      <c r="B12" s="336">
        <f>(P21/1.02)/1</f>
        <v>1.2568415453036594</v>
      </c>
      <c r="C12" s="340">
        <f>B12*D12</f>
        <v>0.31658009817366711</v>
      </c>
      <c r="D12" s="337">
        <f>MAX(P25, B27)</f>
        <v>0.25188544996511847</v>
      </c>
      <c r="J12" s="314"/>
      <c r="L12" s="315">
        <v>371531.375</v>
      </c>
      <c r="M12" s="315">
        <v>13396.416015625</v>
      </c>
      <c r="N12" s="319">
        <v>3.5790089517831802E-2</v>
      </c>
      <c r="O12" s="317">
        <v>29.765943527221602</v>
      </c>
      <c r="P12" s="318">
        <v>1.4792968034744201</v>
      </c>
      <c r="S12" s="319">
        <v>3.5790089517831802E-2</v>
      </c>
    </row>
    <row r="13" spans="1:19">
      <c r="C13" s="336"/>
      <c r="D13" s="341"/>
      <c r="I13" s="313"/>
      <c r="J13" s="314"/>
      <c r="L13" s="315">
        <v>372578.375</v>
      </c>
      <c r="M13" s="315">
        <v>13127.626953125</v>
      </c>
      <c r="N13" s="319">
        <v>3.57104502618312E-2</v>
      </c>
      <c r="O13" s="317">
        <v>20.0014743804931</v>
      </c>
      <c r="P13" s="318">
        <v>0.59739160537719704</v>
      </c>
      <c r="S13" s="319">
        <v>3.57104502618312E-2</v>
      </c>
    </row>
    <row r="14" spans="1:19">
      <c r="A14" s="324" t="s">
        <v>224</v>
      </c>
      <c r="B14" s="336">
        <f>B10*(1-B29/B12)*(1-B28)</f>
        <v>3.5923582352922034E-2</v>
      </c>
      <c r="C14" s="336">
        <f>B14*SQRT(D10^2+((B29/B12)*SQRT(C29^2+D12^2)/(1-B29/B12))^2+(B28*C28/(1-B28))^2)</f>
        <v>1.0016476886433609E-4</v>
      </c>
      <c r="D14" s="337">
        <f>C14/B14</f>
        <v>2.788273393234922E-3</v>
      </c>
      <c r="I14" s="313"/>
      <c r="J14" s="342"/>
      <c r="L14" s="315">
        <v>366504.53125</v>
      </c>
      <c r="M14" s="315">
        <v>13196.279296875</v>
      </c>
      <c r="N14" s="319">
        <v>3.6267850548028897E-2</v>
      </c>
      <c r="O14" s="317">
        <v>38.054031372070298</v>
      </c>
      <c r="P14" s="318">
        <v>1.5335098505020099</v>
      </c>
      <c r="S14" s="319">
        <v>3.6267850548028897E-2</v>
      </c>
    </row>
    <row r="15" spans="1:19">
      <c r="A15" s="324" t="s">
        <v>225</v>
      </c>
      <c r="B15" s="338">
        <f>B11*(1/(1-B30*B11))</f>
        <v>3.1844985005419345E-2</v>
      </c>
      <c r="C15" s="339">
        <f>B15*SQRT(D11^2+(SQRT(C30^2+D11^2)*(B30*B11)/(1-B30*B11)^2)^2)</f>
        <v>5.355690561144791E-3</v>
      </c>
      <c r="D15" s="337">
        <f>C15/B15</f>
        <v>0.16818003086619024</v>
      </c>
      <c r="G15" s="312"/>
      <c r="H15" s="312"/>
      <c r="I15" s="313"/>
      <c r="J15" s="342"/>
      <c r="L15" s="315">
        <v>365335.1875</v>
      </c>
      <c r="M15" s="315">
        <v>13439.46875</v>
      </c>
      <c r="N15" s="319"/>
      <c r="O15" s="317">
        <v>24.861507415771399</v>
      </c>
      <c r="P15" s="318">
        <v>1.08726835250854</v>
      </c>
      <c r="S15" s="319">
        <v>3.6421678960323299E-2</v>
      </c>
    </row>
    <row r="16" spans="1:19">
      <c r="A16" s="324"/>
      <c r="B16" s="336"/>
      <c r="D16" s="337"/>
      <c r="I16" s="313"/>
      <c r="J16" s="342"/>
      <c r="L16" s="315">
        <v>370003.4375</v>
      </c>
      <c r="M16" s="315">
        <v>13406.8876953125</v>
      </c>
      <c r="N16" s="319"/>
      <c r="O16" s="317">
        <v>19.289232254028299</v>
      </c>
      <c r="P16" s="318">
        <v>0.62070780992507901</v>
      </c>
      <c r="S16" s="316">
        <v>3.6679301410913398E-2</v>
      </c>
    </row>
    <row r="17" spans="1:19">
      <c r="A17" s="324" t="s">
        <v>226</v>
      </c>
      <c r="B17" s="336">
        <f>B14*(B7/B6)^(LN(B41/B42)/LN(B36/B39))</f>
        <v>3.5806133344124837E-2</v>
      </c>
      <c r="C17" s="336">
        <f>B17*SQRT(D14^2+(D6/3)^2)</f>
        <v>1.0010870213355414E-4</v>
      </c>
      <c r="D17" s="337">
        <f>C17/B17</f>
        <v>2.7958534693325169E-3</v>
      </c>
      <c r="I17" s="313"/>
      <c r="J17" s="342"/>
      <c r="L17" s="315">
        <v>362374.34375</v>
      </c>
      <c r="M17" s="315">
        <v>13255.6220703125</v>
      </c>
      <c r="N17" s="319">
        <v>3.5736113786697297E-2</v>
      </c>
      <c r="O17" s="317">
        <v>26.893611907958899</v>
      </c>
      <c r="P17" s="318">
        <v>1.1567419767379701</v>
      </c>
      <c r="S17" s="319">
        <v>3.5736113786697297E-2</v>
      </c>
    </row>
    <row r="18" spans="1:19">
      <c r="A18" s="324" t="s">
        <v>227</v>
      </c>
      <c r="B18" s="343">
        <f>B15*(B7/B6)^(LN(B40/B42)/LN(B36/B39))</f>
        <v>3.1534781424372833E-2</v>
      </c>
      <c r="C18" s="343">
        <f>B18*SQRT(D15^2+D6^2)</f>
        <v>5.303556228690845E-3</v>
      </c>
      <c r="D18" s="337">
        <f>C18/B18</f>
        <v>0.16818116343726403</v>
      </c>
      <c r="I18" s="313"/>
      <c r="J18" s="342"/>
      <c r="L18" s="315"/>
      <c r="M18" s="315"/>
      <c r="N18" s="319"/>
      <c r="O18" s="317"/>
      <c r="P18" s="318"/>
      <c r="S18" s="319"/>
    </row>
    <row r="19" spans="1:19">
      <c r="A19" s="309"/>
      <c r="B19" s="344"/>
      <c r="C19" s="336"/>
      <c r="D19" s="345"/>
      <c r="E19" s="309" t="s">
        <v>228</v>
      </c>
      <c r="F19" s="346"/>
      <c r="I19" s="313"/>
      <c r="J19" s="342"/>
      <c r="L19" s="315"/>
      <c r="M19" s="315"/>
      <c r="N19" s="319"/>
      <c r="O19" s="317"/>
      <c r="P19" s="318"/>
      <c r="S19" s="319"/>
    </row>
    <row r="20" spans="1:19">
      <c r="A20" s="324" t="s">
        <v>229</v>
      </c>
      <c r="B20" s="347">
        <f>L21</f>
        <v>350021.70703125</v>
      </c>
      <c r="C20" s="311"/>
      <c r="D20" s="345"/>
      <c r="E20" s="348">
        <f>B17</f>
        <v>3.5806133344124837E-2</v>
      </c>
      <c r="F20" s="349">
        <f>C17</f>
        <v>1.0010870213355414E-4</v>
      </c>
      <c r="G20" s="350"/>
      <c r="H20" s="351"/>
      <c r="I20" s="313"/>
      <c r="L20" s="315"/>
      <c r="M20" s="315"/>
      <c r="N20"/>
      <c r="O20" s="382"/>
      <c r="P20" s="382"/>
      <c r="S20"/>
    </row>
    <row r="21" spans="1:19">
      <c r="A21" s="324" t="s">
        <v>230</v>
      </c>
      <c r="B21" s="310">
        <f>M21</f>
        <v>12715.009338378906</v>
      </c>
      <c r="C21" s="336"/>
      <c r="D21" s="345"/>
      <c r="E21" s="352">
        <f>B18</f>
        <v>3.1534781424372833E-2</v>
      </c>
      <c r="F21" s="353">
        <f>C18</f>
        <v>5.303556228690845E-3</v>
      </c>
      <c r="G21" s="354">
        <f>B20</f>
        <v>350021.70703125</v>
      </c>
      <c r="H21" s="355">
        <f>L22</f>
        <v>16</v>
      </c>
      <c r="I21" s="313"/>
      <c r="J21" s="386" t="e">
        <f>AVERAGE(J2:J20)</f>
        <v>#DIV/0!</v>
      </c>
      <c r="L21" s="387">
        <f>AVERAGE(L2:L20)</f>
        <v>350021.70703125</v>
      </c>
      <c r="M21" s="387">
        <f>AVERAGE(M2:M20)</f>
        <v>12715.009338378906</v>
      </c>
      <c r="N21" s="388">
        <f>AVERAGE(N2:N20)</f>
        <v>3.5923607336978067E-2</v>
      </c>
      <c r="O21" s="388">
        <f>AVERAGE(O2:O20)</f>
        <v>32.030161142349201</v>
      </c>
      <c r="P21" s="388">
        <f>AVERAGE(P2:P20)</f>
        <v>1.2819783762097325</v>
      </c>
      <c r="Q21" s="389"/>
      <c r="S21" s="388">
        <f>AVERAGE(S2:S20)</f>
        <v>3.6006496753543553E-2</v>
      </c>
    </row>
    <row r="22" spans="1:19">
      <c r="B22" s="312"/>
      <c r="C22" s="311"/>
      <c r="D22" s="345"/>
      <c r="E22" s="312"/>
      <c r="F22" s="356"/>
      <c r="I22" s="313"/>
      <c r="J22" s="323">
        <f>COUNT(J2:J20)</f>
        <v>0</v>
      </c>
      <c r="L22" s="306">
        <f>COUNT(L2:L20)</f>
        <v>16</v>
      </c>
      <c r="M22" s="306">
        <f>COUNT(M2:M20)</f>
        <v>16</v>
      </c>
      <c r="N22" s="306">
        <f>COUNT(N2:N20)</f>
        <v>12</v>
      </c>
      <c r="O22" s="306">
        <f>COUNT(O2:O20)</f>
        <v>16</v>
      </c>
      <c r="P22" s="306">
        <f>COUNT(P2:P20)</f>
        <v>16</v>
      </c>
      <c r="Q22" s="323"/>
      <c r="S22" s="306">
        <f>COUNT(S2:S20)</f>
        <v>16</v>
      </c>
    </row>
    <row r="23" spans="1:19">
      <c r="A23" s="324" t="s">
        <v>231</v>
      </c>
      <c r="B23" s="357">
        <f>S22</f>
        <v>16</v>
      </c>
      <c r="C23" s="357">
        <f>N22</f>
        <v>12</v>
      </c>
      <c r="E23" s="358"/>
      <c r="G23" s="335"/>
      <c r="I23" s="313"/>
      <c r="J23" s="323" t="e">
        <f>STDEV(J2:J20)</f>
        <v>#DIV/0!</v>
      </c>
      <c r="L23" s="306">
        <f>STDEV(L2:L20)</f>
        <v>28131.357240308986</v>
      </c>
      <c r="M23" s="306">
        <f>STDEV(M2:M20)</f>
        <v>895.94800104021306</v>
      </c>
      <c r="N23" s="306">
        <f>STDEV(N2:N20)</f>
        <v>1.7349058908308466E-4</v>
      </c>
      <c r="O23" s="306">
        <f>STDEV(O2:O20)</f>
        <v>10.773666979138671</v>
      </c>
      <c r="P23" s="306">
        <f>STDEV(P2:P20)</f>
        <v>0.64582340027428076</v>
      </c>
      <c r="Q23" s="323"/>
      <c r="S23" s="306">
        <f>STDEV(S2:S20)</f>
        <v>2.9431744762387074E-4</v>
      </c>
    </row>
    <row r="24" spans="1:19">
      <c r="A24" s="324" t="s">
        <v>232</v>
      </c>
      <c r="B24" s="359">
        <v>1.0489999999999999</v>
      </c>
      <c r="C24" s="311"/>
      <c r="E24" s="360"/>
      <c r="F24" s="312"/>
      <c r="I24" s="313"/>
      <c r="J24" s="323" t="e">
        <f>2*(J23/(J22^0.5))</f>
        <v>#DIV/0!</v>
      </c>
      <c r="L24" s="306">
        <f>2*(L23/(L22^0.5))</f>
        <v>14065.678620154493</v>
      </c>
      <c r="M24" s="306">
        <f>2*(M23/(M22^0.5))</f>
        <v>447.97400052010653</v>
      </c>
      <c r="N24" s="306">
        <f>2*(N23/(N22^0.5))</f>
        <v>1.0016483830898569E-4</v>
      </c>
      <c r="O24" s="306">
        <f>2*(O23/(O22^0.5))</f>
        <v>5.3868334895693355</v>
      </c>
      <c r="P24" s="306">
        <f>2*(P23/(P22^0.5))</f>
        <v>0.32291170013714038</v>
      </c>
      <c r="Q24" s="323"/>
      <c r="S24" s="306">
        <f>2*(S23/(S22^0.5))</f>
        <v>1.4715872381193537E-4</v>
      </c>
    </row>
    <row r="25" spans="1:19">
      <c r="A25" s="361" t="s">
        <v>233</v>
      </c>
      <c r="B25" s="362">
        <f>2/((B21*B24*B23)^0.5)</f>
        <v>4.3293621754292707E-3</v>
      </c>
      <c r="F25" s="312"/>
      <c r="I25" s="313"/>
      <c r="J25" s="385" t="e">
        <f>J24/J21</f>
        <v>#DIV/0!</v>
      </c>
      <c r="L25" s="390">
        <f>L24/L21</f>
        <v>4.0185160913173611E-2</v>
      </c>
      <c r="M25" s="390">
        <f>M24/M21</f>
        <v>3.5231904955660913E-2</v>
      </c>
      <c r="N25" s="390">
        <f>N24/N21</f>
        <v>2.7882733871740306E-3</v>
      </c>
      <c r="O25" s="390">
        <f>O24/O21</f>
        <v>0.16818003086619024</v>
      </c>
      <c r="P25" s="390">
        <f>P24/P21</f>
        <v>0.25188544996511847</v>
      </c>
      <c r="Q25" s="385"/>
      <c r="S25" s="390">
        <f>S24/S21</f>
        <v>4.0870047652567824E-3</v>
      </c>
    </row>
    <row r="26" spans="1:19">
      <c r="C26" s="311"/>
      <c r="D26" s="363"/>
      <c r="E26" s="312"/>
      <c r="F26" s="312"/>
      <c r="I26" s="313"/>
    </row>
    <row r="27" spans="1:19">
      <c r="A27" s="364" t="s">
        <v>234</v>
      </c>
      <c r="B27" s="365">
        <v>0.02</v>
      </c>
      <c r="C27" s="311"/>
      <c r="I27" s="313"/>
    </row>
    <row r="28" spans="1:19">
      <c r="A28" s="364" t="s">
        <v>235</v>
      </c>
      <c r="B28" s="411">
        <v>5.9999999999999997E-7</v>
      </c>
      <c r="C28" s="366">
        <v>0.3</v>
      </c>
      <c r="D28" s="367"/>
      <c r="I28" s="313"/>
    </row>
    <row r="29" spans="1:19">
      <c r="A29" s="364" t="s">
        <v>236</v>
      </c>
      <c r="B29" s="368">
        <f>B28/5</f>
        <v>1.1999999999999999E-7</v>
      </c>
      <c r="C29" s="366">
        <v>0.3</v>
      </c>
      <c r="D29" s="367"/>
      <c r="E29" s="312"/>
      <c r="F29" s="312"/>
      <c r="I29" s="313"/>
    </row>
    <row r="30" spans="1:19">
      <c r="A30" s="364" t="s">
        <v>237</v>
      </c>
      <c r="B30" s="368">
        <f>B29/3</f>
        <v>3.9999999999999994E-8</v>
      </c>
      <c r="C30" s="366">
        <v>0.3</v>
      </c>
      <c r="D30" s="367"/>
      <c r="E30" s="369"/>
      <c r="F30" s="369"/>
      <c r="G30" s="370"/>
      <c r="H30" s="371"/>
      <c r="I30" s="313"/>
    </row>
    <row r="31" spans="1:19">
      <c r="A31" s="372" t="s">
        <v>196</v>
      </c>
      <c r="B31" s="373">
        <f>B28/5</f>
        <v>1.1999999999999999E-7</v>
      </c>
      <c r="C31" s="366">
        <v>0.3</v>
      </c>
      <c r="D31" s="367"/>
      <c r="E31" s="374"/>
      <c r="F31" s="369"/>
      <c r="G31" s="370"/>
      <c r="H31" s="371"/>
      <c r="I31" s="313"/>
    </row>
    <row r="32" spans="1:19">
      <c r="E32" s="331"/>
      <c r="G32" s="312"/>
      <c r="H32" s="371"/>
      <c r="I32" s="313"/>
    </row>
    <row r="33" spans="1:9">
      <c r="E33" s="340"/>
      <c r="F33" s="375"/>
      <c r="G33" s="325"/>
      <c r="H33" s="312"/>
      <c r="I33" s="313"/>
    </row>
    <row r="34" spans="1:9">
      <c r="A34" s="309" t="s">
        <v>144</v>
      </c>
      <c r="B34" s="376"/>
      <c r="C34" s="309"/>
      <c r="D34" s="309"/>
      <c r="E34" s="312"/>
      <c r="F34" s="312"/>
      <c r="I34" s="313"/>
    </row>
    <row r="35" spans="1:9">
      <c r="A35" s="377" t="s">
        <v>145</v>
      </c>
      <c r="B35" s="378">
        <v>238.05078499999999</v>
      </c>
      <c r="C35" s="395" t="s">
        <v>146</v>
      </c>
      <c r="D35" s="357"/>
      <c r="E35" s="312"/>
      <c r="F35" s="312"/>
      <c r="I35" s="313"/>
    </row>
    <row r="36" spans="1:9">
      <c r="A36" s="377" t="s">
        <v>147</v>
      </c>
      <c r="B36" s="378">
        <v>236.04556299999999</v>
      </c>
      <c r="C36" s="379" t="s">
        <v>239</v>
      </c>
      <c r="D36" s="392">
        <v>1.0083979999999999</v>
      </c>
      <c r="E36" s="312"/>
      <c r="F36" s="312"/>
      <c r="I36" s="313"/>
    </row>
    <row r="37" spans="1:9">
      <c r="A37" s="377" t="s">
        <v>148</v>
      </c>
      <c r="B37" s="378">
        <v>235.043924</v>
      </c>
      <c r="C37" s="379" t="s">
        <v>240</v>
      </c>
      <c r="D37" s="392">
        <v>1.6802153628327297E-2</v>
      </c>
      <c r="E37" s="312"/>
      <c r="F37" s="312"/>
      <c r="I37" s="313"/>
    </row>
    <row r="38" spans="1:9">
      <c r="A38" s="377" t="s">
        <v>149</v>
      </c>
      <c r="B38" s="378">
        <v>234.04094699999999</v>
      </c>
      <c r="C38" s="379" t="s">
        <v>241</v>
      </c>
      <c r="D38" s="392">
        <v>0.10532139153895437</v>
      </c>
      <c r="E38" s="312"/>
      <c r="F38" s="312"/>
      <c r="I38" s="313"/>
    </row>
    <row r="39" spans="1:9">
      <c r="A39" s="377" t="s">
        <v>150</v>
      </c>
      <c r="B39" s="378">
        <v>233.03962899999999</v>
      </c>
      <c r="C39" s="379" t="s">
        <v>242</v>
      </c>
      <c r="D39" s="392">
        <v>3.1951268933333695E-3</v>
      </c>
      <c r="E39" s="312"/>
      <c r="F39" s="312"/>
      <c r="I39" s="313"/>
    </row>
    <row r="40" spans="1:9">
      <c r="A40" s="377" t="s">
        <v>238</v>
      </c>
      <c r="B40" s="378">
        <v>232.038051</v>
      </c>
      <c r="E40" s="312"/>
      <c r="F40" s="312"/>
      <c r="I40" s="313"/>
    </row>
    <row r="41" spans="1:9">
      <c r="A41" s="377" t="s">
        <v>210</v>
      </c>
      <c r="B41" s="378">
        <v>230.033128</v>
      </c>
      <c r="C41" s="309"/>
      <c r="E41" s="312"/>
      <c r="F41" s="312"/>
      <c r="I41" s="313"/>
    </row>
    <row r="42" spans="1:9">
      <c r="A42" s="377" t="s">
        <v>209</v>
      </c>
      <c r="B42" s="378">
        <v>229.031756</v>
      </c>
      <c r="C42" s="379"/>
      <c r="D42" s="367"/>
      <c r="E42" s="312"/>
      <c r="F42" s="312"/>
      <c r="I42" s="313"/>
    </row>
    <row r="43" spans="1:9">
      <c r="C43" s="379"/>
      <c r="D43" s="367"/>
      <c r="E43" s="312"/>
      <c r="F43" s="312"/>
      <c r="I43" s="313"/>
    </row>
    <row r="44" spans="1:9">
      <c r="C44" s="379"/>
      <c r="D44" s="367"/>
      <c r="E44" s="312"/>
      <c r="F44" s="312"/>
      <c r="I44" s="313"/>
    </row>
    <row r="45" spans="1:9">
      <c r="C45" s="379"/>
      <c r="D45" s="367"/>
      <c r="E45" s="312"/>
      <c r="F45" s="312"/>
      <c r="I45" s="313"/>
    </row>
    <row r="46" spans="1:9">
      <c r="C46" s="379"/>
      <c r="D46" s="367"/>
      <c r="E46" s="312"/>
      <c r="F46" s="312"/>
      <c r="I46" s="313"/>
    </row>
    <row r="47" spans="1:9">
      <c r="C47" s="379"/>
      <c r="D47" s="367"/>
      <c r="E47" s="312"/>
      <c r="F47" s="312"/>
      <c r="I47" s="313"/>
    </row>
    <row r="48" spans="1:9">
      <c r="I48" s="313"/>
    </row>
    <row r="49" spans="3:9">
      <c r="I49" s="313"/>
    </row>
    <row r="50" spans="3:9">
      <c r="C50" s="379"/>
      <c r="D50" s="367"/>
      <c r="E50" s="312"/>
      <c r="F50" s="312"/>
      <c r="I50" s="313"/>
    </row>
    <row r="51" spans="3:9">
      <c r="C51" s="379"/>
      <c r="D51" s="367"/>
      <c r="E51" s="312"/>
      <c r="F51" s="312"/>
      <c r="I51" s="313"/>
    </row>
    <row r="52" spans="3:9">
      <c r="C52" s="379"/>
      <c r="D52" s="367"/>
      <c r="E52" s="312"/>
      <c r="F52" s="312"/>
      <c r="I52" s="313"/>
    </row>
    <row r="53" spans="3:9">
      <c r="C53" s="379"/>
      <c r="D53" s="367"/>
      <c r="E53" s="312"/>
      <c r="F53" s="312"/>
      <c r="I53" s="313"/>
    </row>
    <row r="54" spans="3:9">
      <c r="C54" s="379"/>
      <c r="D54" s="367"/>
      <c r="E54" s="312"/>
      <c r="F54" s="312"/>
      <c r="I54" s="313"/>
    </row>
    <row r="55" spans="3:9">
      <c r="C55" s="379"/>
      <c r="D55" s="367"/>
      <c r="E55" s="312"/>
      <c r="F55" s="312"/>
      <c r="I55" s="313"/>
    </row>
    <row r="56" spans="3:9">
      <c r="C56" s="379"/>
      <c r="D56" s="367"/>
      <c r="E56" s="312"/>
      <c r="F56" s="312"/>
      <c r="I56" s="313"/>
    </row>
    <row r="57" spans="3:9">
      <c r="C57" s="379"/>
      <c r="D57" s="367"/>
      <c r="E57" s="312"/>
      <c r="F57" s="312"/>
      <c r="I57" s="313"/>
    </row>
    <row r="58" spans="3:9">
      <c r="C58" s="379"/>
      <c r="D58" s="367"/>
      <c r="E58" s="312"/>
      <c r="F58" s="312"/>
      <c r="I58" s="313"/>
    </row>
    <row r="59" spans="3:9">
      <c r="C59" s="379"/>
      <c r="D59" s="367"/>
      <c r="E59" s="312"/>
      <c r="F59" s="312"/>
      <c r="I59" s="313"/>
    </row>
    <row r="60" spans="3:9">
      <c r="C60" s="379"/>
      <c r="D60" s="367"/>
      <c r="E60" s="312"/>
      <c r="F60" s="312"/>
      <c r="I60" s="313"/>
    </row>
    <row r="61" spans="3:9">
      <c r="C61" s="379"/>
      <c r="D61" s="367"/>
      <c r="E61" s="312"/>
      <c r="F61" s="312"/>
      <c r="I61" s="313"/>
    </row>
    <row r="62" spans="3:9">
      <c r="C62" s="379"/>
      <c r="D62" s="367"/>
      <c r="E62" s="312"/>
      <c r="F62" s="312"/>
      <c r="I62" s="313"/>
    </row>
    <row r="63" spans="3:9">
      <c r="C63" s="379"/>
      <c r="D63" s="367"/>
      <c r="E63" s="312"/>
      <c r="F63" s="312"/>
      <c r="I63" s="313"/>
    </row>
    <row r="64" spans="3:9">
      <c r="C64" s="379"/>
      <c r="D64" s="367"/>
      <c r="E64" s="312"/>
      <c r="F64" s="312"/>
      <c r="I64" s="313"/>
    </row>
    <row r="65" spans="3:9">
      <c r="C65" s="379"/>
      <c r="D65" s="367"/>
      <c r="E65" s="312"/>
      <c r="F65" s="312"/>
      <c r="I65" s="313"/>
    </row>
    <row r="66" spans="3:9">
      <c r="C66" s="379"/>
      <c r="D66" s="367"/>
      <c r="E66" s="312"/>
      <c r="F66" s="312"/>
      <c r="I66" s="313"/>
    </row>
    <row r="67" spans="3:9">
      <c r="C67" s="379"/>
      <c r="D67" s="367"/>
      <c r="E67" s="312"/>
      <c r="F67" s="312"/>
      <c r="I67" s="313"/>
    </row>
    <row r="68" spans="3:9">
      <c r="C68" s="379"/>
      <c r="D68" s="367"/>
      <c r="E68" s="312"/>
      <c r="F68" s="312"/>
      <c r="I68" s="313"/>
    </row>
    <row r="69" spans="3:9">
      <c r="C69" s="379"/>
      <c r="D69" s="367"/>
      <c r="E69" s="312"/>
      <c r="F69" s="312"/>
      <c r="I69" s="313"/>
    </row>
    <row r="70" spans="3:9">
      <c r="C70" s="379"/>
      <c r="D70" s="367"/>
      <c r="E70" s="312"/>
      <c r="F70" s="312"/>
      <c r="I70" s="313"/>
    </row>
    <row r="71" spans="3:9">
      <c r="C71" s="379"/>
      <c r="D71" s="367"/>
      <c r="E71" s="312"/>
      <c r="F71" s="312"/>
      <c r="I71" s="313"/>
    </row>
    <row r="72" spans="3:9">
      <c r="C72" s="379"/>
      <c r="D72" s="367"/>
      <c r="E72" s="312"/>
      <c r="F72" s="312"/>
      <c r="I72" s="313"/>
    </row>
    <row r="73" spans="3:9">
      <c r="C73" s="379"/>
      <c r="D73" s="367"/>
      <c r="E73" s="312"/>
      <c r="F73" s="312"/>
      <c r="I73" s="313"/>
    </row>
    <row r="74" spans="3:9">
      <c r="C74" s="379"/>
      <c r="D74" s="367"/>
      <c r="E74" s="312"/>
      <c r="F74" s="312"/>
      <c r="I74" s="313"/>
    </row>
    <row r="75" spans="3:9">
      <c r="C75" s="379"/>
      <c r="D75" s="367"/>
      <c r="E75" s="312"/>
      <c r="F75" s="312"/>
      <c r="I75" s="313"/>
    </row>
    <row r="76" spans="3:9">
      <c r="C76" s="379"/>
      <c r="D76" s="367"/>
      <c r="E76" s="312"/>
      <c r="F76" s="312"/>
      <c r="I76" s="313"/>
    </row>
    <row r="77" spans="3:9">
      <c r="C77" s="379"/>
      <c r="D77" s="367"/>
      <c r="E77" s="312"/>
      <c r="F77" s="312"/>
      <c r="I77" s="313"/>
    </row>
    <row r="78" spans="3:9">
      <c r="C78" s="379"/>
      <c r="D78" s="367"/>
      <c r="E78" s="312"/>
      <c r="F78" s="312"/>
      <c r="I78" s="313"/>
    </row>
    <row r="79" spans="3:9">
      <c r="C79" s="379"/>
      <c r="D79" s="367"/>
      <c r="E79" s="312"/>
      <c r="F79" s="312"/>
      <c r="I79" s="313"/>
    </row>
    <row r="80" spans="3:9">
      <c r="C80" s="379"/>
      <c r="D80" s="367"/>
      <c r="E80" s="312"/>
      <c r="F80" s="312"/>
      <c r="I80" s="313"/>
    </row>
    <row r="81" spans="3:9">
      <c r="C81" s="379"/>
      <c r="D81" s="367"/>
      <c r="E81" s="312"/>
      <c r="F81" s="312"/>
      <c r="I81" s="313"/>
    </row>
    <row r="82" spans="3:9">
      <c r="C82" s="379"/>
      <c r="D82" s="367"/>
      <c r="E82" s="312"/>
      <c r="F82" s="312"/>
      <c r="I82" s="313"/>
    </row>
    <row r="83" spans="3:9">
      <c r="C83" s="379"/>
      <c r="D83" s="367"/>
      <c r="E83" s="312"/>
      <c r="F83" s="312"/>
      <c r="I83" s="313"/>
    </row>
    <row r="84" spans="3:9">
      <c r="C84" s="379"/>
      <c r="D84" s="367"/>
      <c r="E84" s="312"/>
      <c r="F84" s="312"/>
      <c r="I84" s="313"/>
    </row>
    <row r="85" spans="3:9">
      <c r="C85" s="379"/>
      <c r="D85" s="367"/>
      <c r="E85" s="312"/>
      <c r="F85" s="312"/>
      <c r="I85" s="313"/>
    </row>
    <row r="86" spans="3:9">
      <c r="C86" s="379"/>
      <c r="D86" s="367"/>
      <c r="E86" s="312"/>
      <c r="F86" s="312"/>
      <c r="I86" s="313"/>
    </row>
    <row r="87" spans="3:9">
      <c r="C87" s="379"/>
      <c r="D87" s="367"/>
      <c r="E87" s="312"/>
      <c r="F87" s="312"/>
      <c r="I87" s="313"/>
    </row>
    <row r="88" spans="3:9">
      <c r="C88" s="379"/>
      <c r="D88" s="367"/>
      <c r="E88" s="312"/>
      <c r="F88" s="312"/>
      <c r="I88" s="313"/>
    </row>
    <row r="89" spans="3:9">
      <c r="C89" s="379"/>
      <c r="D89" s="367"/>
      <c r="E89" s="312"/>
      <c r="F89" s="312"/>
      <c r="I89" s="313"/>
    </row>
    <row r="90" spans="3:9">
      <c r="C90" s="379"/>
      <c r="D90" s="367"/>
      <c r="E90" s="312"/>
      <c r="F90" s="312"/>
      <c r="I90" s="313"/>
    </row>
    <row r="91" spans="3:9">
      <c r="C91" s="379"/>
      <c r="D91" s="367"/>
      <c r="E91" s="312"/>
      <c r="F91" s="312"/>
      <c r="I91" s="313"/>
    </row>
    <row r="92" spans="3:9">
      <c r="C92" s="379"/>
      <c r="D92" s="367"/>
      <c r="E92" s="312"/>
      <c r="F92" s="312"/>
      <c r="I92" s="313"/>
    </row>
    <row r="93" spans="3:9">
      <c r="C93" s="379"/>
      <c r="D93" s="367"/>
      <c r="E93" s="312"/>
      <c r="F93" s="312"/>
      <c r="I93" s="313"/>
    </row>
    <row r="94" spans="3:9">
      <c r="C94" s="379"/>
      <c r="D94" s="367"/>
      <c r="E94" s="312"/>
      <c r="F94" s="312"/>
      <c r="I94" s="313"/>
    </row>
    <row r="95" spans="3:9">
      <c r="C95" s="379"/>
      <c r="D95" s="367"/>
      <c r="E95" s="312"/>
      <c r="F95" s="312"/>
      <c r="I95" s="313"/>
    </row>
    <row r="96" spans="3:9">
      <c r="C96" s="379"/>
      <c r="D96" s="367"/>
      <c r="E96" s="312"/>
      <c r="F96" s="312"/>
      <c r="I96" s="313"/>
    </row>
    <row r="97" spans="3:9">
      <c r="C97" s="379"/>
      <c r="D97" s="367"/>
      <c r="E97" s="312"/>
      <c r="F97" s="312"/>
      <c r="I97" s="313"/>
    </row>
    <row r="98" spans="3:9">
      <c r="C98" s="379"/>
      <c r="D98" s="367"/>
      <c r="E98" s="312"/>
      <c r="F98" s="312"/>
      <c r="I98" s="313"/>
    </row>
    <row r="99" spans="3:9">
      <c r="C99" s="379"/>
      <c r="D99" s="367"/>
      <c r="E99" s="312"/>
      <c r="F99" s="312"/>
      <c r="I99" s="313"/>
    </row>
    <row r="100" spans="3:9">
      <c r="C100" s="379"/>
      <c r="D100" s="367"/>
      <c r="E100" s="312"/>
      <c r="F100" s="312"/>
      <c r="I100" s="313"/>
    </row>
    <row r="101" spans="3:9">
      <c r="C101" s="379"/>
      <c r="D101" s="367"/>
      <c r="E101" s="312"/>
      <c r="F101" s="312"/>
      <c r="I101" s="313"/>
    </row>
    <row r="102" spans="3:9">
      <c r="C102" s="379"/>
      <c r="D102" s="367"/>
      <c r="E102" s="312"/>
      <c r="F102" s="312"/>
      <c r="I102" s="313"/>
    </row>
    <row r="103" spans="3:9">
      <c r="C103" s="379"/>
      <c r="D103" s="367"/>
      <c r="E103" s="312"/>
      <c r="F103" s="312"/>
      <c r="I103" s="313"/>
    </row>
    <row r="104" spans="3:9">
      <c r="C104" s="379"/>
      <c r="D104" s="367"/>
      <c r="E104" s="312"/>
      <c r="F104" s="312"/>
      <c r="I104" s="313"/>
    </row>
    <row r="105" spans="3:9">
      <c r="C105" s="379"/>
      <c r="D105" s="367"/>
      <c r="E105" s="312"/>
      <c r="F105" s="312"/>
      <c r="I105" s="313"/>
    </row>
    <row r="106" spans="3:9">
      <c r="C106" s="379"/>
      <c r="D106" s="367"/>
      <c r="E106" s="312"/>
      <c r="F106" s="312"/>
      <c r="I106" s="313"/>
    </row>
    <row r="107" spans="3:9">
      <c r="C107" s="379"/>
      <c r="D107" s="367"/>
      <c r="E107" s="312"/>
      <c r="F107" s="312"/>
      <c r="I107" s="313"/>
    </row>
    <row r="108" spans="3:9">
      <c r="C108" s="379"/>
      <c r="D108" s="367"/>
      <c r="E108" s="312"/>
      <c r="F108" s="312"/>
      <c r="I108" s="313"/>
    </row>
    <row r="109" spans="3:9">
      <c r="C109" s="379"/>
      <c r="D109" s="367"/>
      <c r="E109" s="312"/>
      <c r="F109" s="312"/>
      <c r="I109" s="313"/>
    </row>
    <row r="110" spans="3:9">
      <c r="C110" s="379"/>
      <c r="D110" s="367"/>
      <c r="E110" s="312"/>
      <c r="F110" s="312"/>
      <c r="I110" s="313"/>
    </row>
    <row r="111" spans="3:9">
      <c r="C111" s="379"/>
      <c r="D111" s="367"/>
      <c r="E111" s="312"/>
      <c r="F111" s="312"/>
      <c r="I111" s="313"/>
    </row>
    <row r="112" spans="3:9">
      <c r="C112" s="379"/>
      <c r="D112" s="367"/>
      <c r="E112" s="312"/>
      <c r="F112" s="312"/>
      <c r="I112" s="313"/>
    </row>
    <row r="113" spans="3:9">
      <c r="C113" s="379"/>
      <c r="D113" s="367"/>
      <c r="E113" s="312"/>
      <c r="F113" s="312"/>
      <c r="I113" s="313"/>
    </row>
    <row r="114" spans="3:9">
      <c r="C114" s="379"/>
      <c r="D114" s="367"/>
      <c r="E114" s="312"/>
      <c r="F114" s="312"/>
      <c r="I114" s="313"/>
    </row>
    <row r="115" spans="3:9">
      <c r="C115" s="379"/>
      <c r="D115" s="367"/>
      <c r="E115" s="312"/>
      <c r="F115" s="312"/>
      <c r="I115" s="313"/>
    </row>
    <row r="116" spans="3:9">
      <c r="C116" s="379"/>
      <c r="D116" s="367"/>
      <c r="E116" s="312"/>
      <c r="F116" s="312"/>
      <c r="I116" s="313"/>
    </row>
    <row r="117" spans="3:9">
      <c r="C117" s="379"/>
      <c r="D117" s="367"/>
      <c r="E117" s="312"/>
      <c r="F117" s="312"/>
      <c r="I117" s="313"/>
    </row>
    <row r="118" spans="3:9">
      <c r="C118" s="379"/>
      <c r="D118" s="367"/>
      <c r="E118" s="312"/>
      <c r="F118" s="312"/>
      <c r="I118" s="313"/>
    </row>
    <row r="119" spans="3:9">
      <c r="C119" s="379"/>
      <c r="D119" s="367"/>
      <c r="E119" s="312"/>
      <c r="F119" s="312"/>
      <c r="I119" s="313"/>
    </row>
    <row r="120" spans="3:9">
      <c r="C120" s="379"/>
      <c r="D120" s="367"/>
      <c r="E120" s="312"/>
      <c r="F120" s="312"/>
      <c r="I120" s="313"/>
    </row>
    <row r="121" spans="3:9">
      <c r="C121" s="379"/>
      <c r="D121" s="367"/>
      <c r="E121" s="312"/>
      <c r="F121" s="312"/>
      <c r="I121" s="313"/>
    </row>
    <row r="122" spans="3:9">
      <c r="C122" s="379"/>
      <c r="D122" s="367"/>
      <c r="E122" s="312"/>
      <c r="F122" s="312"/>
      <c r="I122" s="313"/>
    </row>
    <row r="123" spans="3:9">
      <c r="C123" s="379"/>
      <c r="D123" s="367"/>
      <c r="E123" s="312"/>
      <c r="F123" s="312"/>
      <c r="I123" s="313"/>
    </row>
    <row r="124" spans="3:9">
      <c r="C124" s="379"/>
      <c r="D124" s="367"/>
      <c r="E124" s="312"/>
      <c r="F124" s="312"/>
      <c r="I124" s="313"/>
    </row>
    <row r="125" spans="3:9">
      <c r="C125" s="379"/>
      <c r="D125" s="367"/>
      <c r="E125" s="312"/>
      <c r="F125" s="312"/>
      <c r="I125" s="313"/>
    </row>
    <row r="126" spans="3:9">
      <c r="C126" s="379"/>
      <c r="D126" s="367"/>
      <c r="E126" s="312"/>
      <c r="F126" s="312"/>
      <c r="I126" s="313"/>
    </row>
    <row r="127" spans="3:9">
      <c r="C127" s="379"/>
      <c r="D127" s="367"/>
      <c r="E127" s="312"/>
      <c r="F127" s="312"/>
      <c r="I127" s="313"/>
    </row>
    <row r="128" spans="3:9">
      <c r="C128" s="379"/>
      <c r="D128" s="367"/>
      <c r="E128" s="312"/>
      <c r="F128" s="312"/>
      <c r="I128" s="313"/>
    </row>
    <row r="129" spans="3:9">
      <c r="C129" s="379"/>
      <c r="D129" s="367"/>
      <c r="E129" s="312"/>
      <c r="F129" s="312"/>
      <c r="I129" s="313"/>
    </row>
    <row r="130" spans="3:9">
      <c r="C130" s="379"/>
      <c r="D130" s="367"/>
      <c r="E130" s="312"/>
      <c r="F130" s="312"/>
      <c r="I130" s="313"/>
    </row>
    <row r="131" spans="3:9">
      <c r="C131" s="379"/>
      <c r="D131" s="367"/>
      <c r="E131" s="312"/>
      <c r="F131" s="312"/>
      <c r="I131" s="313"/>
    </row>
    <row r="132" spans="3:9">
      <c r="C132" s="379"/>
      <c r="D132" s="367"/>
      <c r="E132" s="312"/>
      <c r="F132" s="312"/>
      <c r="I132" s="313"/>
    </row>
    <row r="133" spans="3:9">
      <c r="C133" s="379"/>
      <c r="D133" s="367"/>
      <c r="E133" s="312"/>
      <c r="F133" s="312"/>
      <c r="I133" s="313"/>
    </row>
    <row r="134" spans="3:9">
      <c r="C134" s="379"/>
      <c r="D134" s="367"/>
      <c r="E134" s="312"/>
      <c r="F134" s="312"/>
      <c r="I134" s="313"/>
    </row>
    <row r="135" spans="3:9">
      <c r="C135" s="379"/>
      <c r="D135" s="367"/>
      <c r="E135" s="312"/>
      <c r="F135" s="312"/>
      <c r="I135" s="313"/>
    </row>
    <row r="136" spans="3:9">
      <c r="C136" s="379"/>
      <c r="D136" s="367"/>
      <c r="E136" s="312"/>
      <c r="F136" s="312"/>
      <c r="I136" s="313"/>
    </row>
    <row r="137" spans="3:9">
      <c r="C137" s="379"/>
      <c r="D137" s="367"/>
      <c r="E137" s="312"/>
      <c r="F137" s="312"/>
      <c r="I137" s="313"/>
    </row>
    <row r="138" spans="3:9">
      <c r="C138" s="379"/>
      <c r="D138" s="367"/>
      <c r="E138" s="312"/>
      <c r="F138" s="312"/>
      <c r="I138" s="313"/>
    </row>
    <row r="139" spans="3:9">
      <c r="C139" s="379"/>
      <c r="D139" s="367"/>
      <c r="E139" s="312"/>
      <c r="F139" s="312"/>
      <c r="I139" s="313"/>
    </row>
    <row r="140" spans="3:9">
      <c r="C140" s="379"/>
      <c r="D140" s="367"/>
      <c r="E140" s="312"/>
      <c r="F140" s="312"/>
      <c r="I140" s="313"/>
    </row>
    <row r="141" spans="3:9">
      <c r="C141" s="379"/>
      <c r="D141" s="367"/>
      <c r="E141" s="312"/>
      <c r="F141" s="312"/>
      <c r="I141" s="313"/>
    </row>
    <row r="142" spans="3:9">
      <c r="C142" s="379"/>
      <c r="D142" s="367"/>
      <c r="E142" s="312"/>
      <c r="F142" s="312"/>
      <c r="I142" s="313"/>
    </row>
    <row r="143" spans="3:9">
      <c r="C143" s="379"/>
      <c r="D143" s="367"/>
      <c r="E143" s="312"/>
      <c r="F143" s="312"/>
      <c r="I143" s="313"/>
    </row>
    <row r="144" spans="3:9">
      <c r="C144" s="379"/>
      <c r="D144" s="367"/>
      <c r="E144" s="312"/>
      <c r="F144" s="312"/>
      <c r="I144" s="313"/>
    </row>
    <row r="145" spans="3:9">
      <c r="C145" s="379"/>
      <c r="D145" s="367"/>
      <c r="E145" s="312"/>
      <c r="F145" s="312"/>
      <c r="I145" s="313"/>
    </row>
    <row r="146" spans="3:9">
      <c r="C146" s="379"/>
      <c r="D146" s="367"/>
      <c r="E146" s="312"/>
      <c r="F146" s="312"/>
      <c r="I146" s="313"/>
    </row>
    <row r="147" spans="3:9">
      <c r="C147" s="379"/>
      <c r="D147" s="367"/>
      <c r="E147" s="312"/>
      <c r="F147" s="312"/>
      <c r="I147" s="313"/>
    </row>
    <row r="148" spans="3:9">
      <c r="C148" s="379"/>
      <c r="D148" s="367"/>
      <c r="E148" s="312"/>
      <c r="F148" s="312"/>
      <c r="I148" s="313"/>
    </row>
    <row r="149" spans="3:9">
      <c r="C149" s="379"/>
      <c r="D149" s="367"/>
      <c r="E149" s="312"/>
      <c r="F149" s="312"/>
      <c r="I149" s="313"/>
    </row>
    <row r="150" spans="3:9">
      <c r="C150" s="379"/>
      <c r="D150" s="367"/>
      <c r="E150" s="312"/>
      <c r="F150" s="312"/>
      <c r="I150" s="313"/>
    </row>
    <row r="151" spans="3:9">
      <c r="C151" s="379"/>
      <c r="D151" s="367"/>
      <c r="E151" s="312"/>
      <c r="F151" s="312"/>
      <c r="I151" s="313"/>
    </row>
    <row r="152" spans="3:9">
      <c r="C152" s="379"/>
      <c r="D152" s="367"/>
      <c r="E152" s="312"/>
      <c r="F152" s="312"/>
      <c r="I152" s="313"/>
    </row>
    <row r="153" spans="3:9">
      <c r="C153" s="379"/>
      <c r="D153" s="367"/>
      <c r="E153" s="312"/>
      <c r="F153" s="312"/>
      <c r="I153" s="313"/>
    </row>
    <row r="154" spans="3:9">
      <c r="C154" s="379"/>
      <c r="D154" s="367"/>
      <c r="E154" s="312"/>
      <c r="F154" s="312"/>
      <c r="I154" s="313"/>
    </row>
    <row r="155" spans="3:9">
      <c r="C155" s="379"/>
      <c r="D155" s="367"/>
      <c r="E155" s="312"/>
      <c r="F155" s="312"/>
      <c r="I155" s="313"/>
    </row>
    <row r="156" spans="3:9">
      <c r="C156" s="379"/>
      <c r="D156" s="367"/>
      <c r="E156" s="312"/>
      <c r="F156" s="312"/>
      <c r="I156" s="313"/>
    </row>
    <row r="157" spans="3:9">
      <c r="C157" s="379"/>
      <c r="D157" s="367"/>
      <c r="E157" s="312"/>
      <c r="F157" s="312"/>
      <c r="I157" s="313"/>
    </row>
    <row r="158" spans="3:9">
      <c r="C158" s="379"/>
      <c r="D158" s="367"/>
      <c r="E158" s="312"/>
      <c r="F158" s="312"/>
      <c r="I158" s="313"/>
    </row>
    <row r="159" spans="3:9">
      <c r="C159" s="379"/>
      <c r="D159" s="367"/>
      <c r="E159" s="312"/>
      <c r="F159" s="312"/>
      <c r="I159" s="313"/>
    </row>
    <row r="160" spans="3:9">
      <c r="C160" s="379"/>
      <c r="D160" s="367"/>
      <c r="E160" s="312"/>
      <c r="F160" s="312"/>
      <c r="I160" s="313"/>
    </row>
    <row r="161" spans="3:9">
      <c r="C161" s="379"/>
      <c r="D161" s="367"/>
      <c r="E161" s="312"/>
      <c r="F161" s="312"/>
      <c r="I161" s="313"/>
    </row>
    <row r="162" spans="3:9">
      <c r="C162" s="379"/>
      <c r="D162" s="367"/>
      <c r="E162" s="312"/>
      <c r="F162" s="312"/>
      <c r="I162" s="313"/>
    </row>
    <row r="163" spans="3:9">
      <c r="C163" s="379"/>
      <c r="D163" s="367"/>
      <c r="E163" s="312"/>
      <c r="F163" s="312"/>
      <c r="I163" s="313"/>
    </row>
    <row r="164" spans="3:9">
      <c r="C164" s="379"/>
      <c r="D164" s="367"/>
      <c r="E164" s="312"/>
      <c r="F164" s="312"/>
      <c r="I164" s="313"/>
    </row>
    <row r="165" spans="3:9">
      <c r="C165" s="379"/>
      <c r="D165" s="367"/>
      <c r="E165" s="312"/>
      <c r="F165" s="312"/>
      <c r="I165" s="313"/>
    </row>
    <row r="166" spans="3:9">
      <c r="C166" s="379"/>
      <c r="D166" s="367"/>
      <c r="E166" s="312"/>
      <c r="F166" s="312"/>
      <c r="I166" s="313"/>
    </row>
    <row r="167" spans="3:9">
      <c r="C167" s="379"/>
      <c r="D167" s="367"/>
      <c r="E167" s="312"/>
      <c r="F167" s="312"/>
      <c r="I167" s="313"/>
    </row>
    <row r="168" spans="3:9">
      <c r="C168" s="379"/>
      <c r="D168" s="367"/>
      <c r="E168" s="312"/>
      <c r="F168" s="312"/>
      <c r="I168" s="313"/>
    </row>
    <row r="169" spans="3:9">
      <c r="C169" s="379"/>
      <c r="D169" s="367"/>
      <c r="E169" s="312"/>
      <c r="F169" s="312"/>
      <c r="I169" s="313"/>
    </row>
    <row r="170" spans="3:9">
      <c r="C170" s="379"/>
      <c r="D170" s="367"/>
      <c r="E170" s="312"/>
      <c r="F170" s="312"/>
      <c r="I170" s="313"/>
    </row>
    <row r="171" spans="3:9">
      <c r="C171" s="379"/>
      <c r="D171" s="367"/>
      <c r="E171" s="312"/>
      <c r="F171" s="312"/>
      <c r="I171" s="313"/>
    </row>
    <row r="172" spans="3:9">
      <c r="C172" s="379"/>
      <c r="D172" s="367"/>
      <c r="E172" s="312"/>
      <c r="F172" s="312"/>
      <c r="I172" s="313"/>
    </row>
    <row r="173" spans="3:9">
      <c r="C173" s="379"/>
      <c r="D173" s="367"/>
      <c r="E173" s="312"/>
      <c r="F173" s="312"/>
      <c r="I173" s="313"/>
    </row>
    <row r="174" spans="3:9">
      <c r="C174" s="379"/>
      <c r="D174" s="367"/>
      <c r="E174" s="312"/>
      <c r="F174" s="312"/>
      <c r="I174" s="313"/>
    </row>
    <row r="175" spans="3:9">
      <c r="C175" s="379"/>
      <c r="D175" s="367"/>
      <c r="E175" s="312"/>
      <c r="F175" s="312"/>
      <c r="I175" s="313"/>
    </row>
    <row r="176" spans="3:9">
      <c r="C176" s="379"/>
      <c r="D176" s="367"/>
      <c r="E176" s="312"/>
      <c r="F176" s="312"/>
      <c r="I176" s="313"/>
    </row>
    <row r="177" spans="3:9">
      <c r="C177" s="379"/>
      <c r="D177" s="367"/>
      <c r="E177" s="312"/>
      <c r="F177" s="312"/>
      <c r="I177" s="313"/>
    </row>
    <row r="178" spans="3:9">
      <c r="C178" s="379"/>
      <c r="D178" s="367"/>
      <c r="E178" s="312"/>
      <c r="F178" s="312"/>
      <c r="I178" s="313"/>
    </row>
    <row r="179" spans="3:9">
      <c r="C179" s="379"/>
      <c r="D179" s="367"/>
      <c r="E179" s="312"/>
      <c r="F179" s="312"/>
      <c r="I179" s="313"/>
    </row>
    <row r="180" spans="3:9">
      <c r="C180" s="379"/>
      <c r="D180" s="367"/>
      <c r="E180" s="312"/>
      <c r="F180" s="312"/>
      <c r="I180" s="313"/>
    </row>
    <row r="181" spans="3:9">
      <c r="C181" s="379"/>
      <c r="D181" s="367"/>
      <c r="E181" s="312"/>
      <c r="F181" s="312"/>
      <c r="I181" s="313"/>
    </row>
    <row r="182" spans="3:9">
      <c r="C182" s="379"/>
      <c r="D182" s="367"/>
      <c r="E182" s="312"/>
      <c r="F182" s="312"/>
      <c r="I182" s="313"/>
    </row>
    <row r="183" spans="3:9">
      <c r="C183" s="379"/>
      <c r="D183" s="367"/>
      <c r="E183" s="312"/>
      <c r="F183" s="312"/>
      <c r="I183" s="313"/>
    </row>
    <row r="184" spans="3:9">
      <c r="C184" s="379"/>
      <c r="D184" s="367"/>
      <c r="E184" s="312"/>
      <c r="F184" s="312"/>
      <c r="I184" s="313"/>
    </row>
    <row r="185" spans="3:9">
      <c r="C185" s="379"/>
      <c r="D185" s="367"/>
      <c r="E185" s="312"/>
      <c r="F185" s="312"/>
      <c r="I185" s="313"/>
    </row>
    <row r="186" spans="3:9">
      <c r="C186" s="379"/>
      <c r="D186" s="367"/>
      <c r="E186" s="312"/>
      <c r="F186" s="312"/>
      <c r="I186" s="313"/>
    </row>
    <row r="187" spans="3:9">
      <c r="C187" s="379"/>
      <c r="D187" s="367"/>
      <c r="E187" s="312"/>
      <c r="F187" s="312"/>
      <c r="I187" s="313"/>
    </row>
    <row r="188" spans="3:9">
      <c r="C188" s="379"/>
      <c r="D188" s="367"/>
      <c r="E188" s="312"/>
      <c r="F188" s="312"/>
      <c r="I188" s="313"/>
    </row>
    <row r="189" spans="3:9">
      <c r="C189" s="379"/>
      <c r="D189" s="367"/>
      <c r="E189" s="312"/>
      <c r="F189" s="312"/>
      <c r="I189" s="313"/>
    </row>
    <row r="190" spans="3:9">
      <c r="C190" s="379"/>
      <c r="D190" s="367"/>
      <c r="E190" s="312"/>
      <c r="F190" s="312"/>
      <c r="I190" s="313"/>
    </row>
    <row r="191" spans="3:9">
      <c r="C191" s="379"/>
      <c r="D191" s="367"/>
      <c r="E191" s="312"/>
      <c r="F191" s="312"/>
      <c r="I191" s="313"/>
    </row>
    <row r="192" spans="3:9">
      <c r="C192" s="379"/>
      <c r="D192" s="367"/>
      <c r="E192" s="312"/>
      <c r="F192" s="312"/>
      <c r="I192" s="313"/>
    </row>
    <row r="193" spans="3:9">
      <c r="C193" s="379"/>
      <c r="D193" s="367"/>
      <c r="E193" s="312"/>
      <c r="F193" s="312"/>
      <c r="I193" s="313"/>
    </row>
    <row r="194" spans="3:9">
      <c r="C194" s="379"/>
      <c r="D194" s="367"/>
      <c r="E194" s="312"/>
      <c r="F194" s="312"/>
      <c r="I194" s="313"/>
    </row>
    <row r="195" spans="3:9">
      <c r="C195" s="379"/>
      <c r="D195" s="367"/>
      <c r="E195" s="312"/>
      <c r="F195" s="312"/>
      <c r="I195" s="313"/>
    </row>
    <row r="196" spans="3:9">
      <c r="C196" s="379"/>
      <c r="D196" s="367"/>
      <c r="E196" s="312"/>
      <c r="F196" s="312"/>
      <c r="I196" s="313"/>
    </row>
    <row r="197" spans="3:9">
      <c r="C197" s="379"/>
      <c r="D197" s="367"/>
      <c r="E197" s="312"/>
      <c r="F197" s="312"/>
      <c r="I197" s="313"/>
    </row>
    <row r="198" spans="3:9">
      <c r="C198" s="379"/>
      <c r="D198" s="367"/>
      <c r="E198" s="312"/>
      <c r="F198" s="312"/>
      <c r="I198" s="313"/>
    </row>
    <row r="199" spans="3:9">
      <c r="C199" s="379"/>
      <c r="D199" s="367"/>
      <c r="E199" s="312"/>
      <c r="F199" s="312"/>
      <c r="I199" s="313"/>
    </row>
    <row r="200" spans="3:9">
      <c r="C200" s="379"/>
      <c r="D200" s="367"/>
      <c r="E200" s="312"/>
      <c r="F200" s="312"/>
      <c r="I200" s="313"/>
    </row>
    <row r="201" spans="3:9">
      <c r="C201" s="379"/>
      <c r="D201" s="367"/>
      <c r="E201" s="312"/>
      <c r="F201" s="312"/>
      <c r="I201" s="313"/>
    </row>
    <row r="202" spans="3:9">
      <c r="C202" s="379"/>
      <c r="D202" s="367"/>
      <c r="E202" s="312"/>
      <c r="F202" s="312"/>
      <c r="I202" s="313"/>
    </row>
    <row r="203" spans="3:9">
      <c r="C203" s="379"/>
      <c r="D203" s="367"/>
      <c r="E203" s="312"/>
      <c r="F203" s="312"/>
      <c r="I203" s="313"/>
    </row>
    <row r="204" spans="3:9">
      <c r="C204" s="379"/>
      <c r="D204" s="367"/>
      <c r="E204" s="312"/>
      <c r="F204" s="312"/>
      <c r="I204" s="313"/>
    </row>
    <row r="205" spans="3:9">
      <c r="C205" s="379"/>
      <c r="D205" s="367"/>
      <c r="E205" s="312"/>
      <c r="F205" s="312"/>
      <c r="I205" s="313"/>
    </row>
    <row r="206" spans="3:9">
      <c r="C206" s="379"/>
      <c r="D206" s="367"/>
      <c r="E206" s="312"/>
      <c r="F206" s="312"/>
      <c r="I206" s="313"/>
    </row>
    <row r="207" spans="3:9">
      <c r="C207" s="379"/>
      <c r="D207" s="367"/>
      <c r="E207" s="312"/>
      <c r="F207" s="312"/>
      <c r="I207" s="313"/>
    </row>
    <row r="208" spans="3:9">
      <c r="C208" s="379"/>
      <c r="D208" s="367"/>
      <c r="E208" s="312"/>
      <c r="F208" s="312"/>
      <c r="I208" s="313"/>
    </row>
    <row r="209" spans="3:9">
      <c r="C209" s="379"/>
      <c r="D209" s="367"/>
      <c r="E209" s="312"/>
      <c r="F209" s="312"/>
      <c r="I209" s="313"/>
    </row>
    <row r="210" spans="3:9">
      <c r="C210" s="379"/>
      <c r="D210" s="367"/>
      <c r="E210" s="312"/>
      <c r="F210" s="312"/>
      <c r="I210" s="313"/>
    </row>
    <row r="211" spans="3:9">
      <c r="C211" s="379"/>
      <c r="D211" s="367"/>
      <c r="E211" s="312"/>
      <c r="F211" s="312"/>
      <c r="I211" s="313"/>
    </row>
    <row r="212" spans="3:9">
      <c r="C212" s="379"/>
      <c r="D212" s="367"/>
      <c r="E212" s="312"/>
      <c r="F212" s="312"/>
      <c r="I212" s="313"/>
    </row>
    <row r="213" spans="3:9">
      <c r="C213" s="379"/>
      <c r="D213" s="367"/>
      <c r="E213" s="312"/>
      <c r="F213" s="312"/>
      <c r="I213" s="313"/>
    </row>
    <row r="214" spans="3:9">
      <c r="C214" s="379"/>
      <c r="D214" s="367"/>
      <c r="E214" s="312"/>
      <c r="F214" s="312"/>
      <c r="I214" s="313"/>
    </row>
    <row r="215" spans="3:9">
      <c r="C215" s="379"/>
      <c r="D215" s="367"/>
      <c r="E215" s="312"/>
      <c r="F215" s="312"/>
      <c r="I215" s="313"/>
    </row>
    <row r="216" spans="3:9">
      <c r="C216" s="379"/>
      <c r="D216" s="367"/>
      <c r="E216" s="312"/>
      <c r="F216" s="312"/>
      <c r="I216" s="313"/>
    </row>
    <row r="217" spans="3:9">
      <c r="C217" s="379"/>
      <c r="D217" s="367"/>
      <c r="E217" s="312"/>
      <c r="F217" s="312"/>
      <c r="I217" s="313"/>
    </row>
    <row r="218" spans="3:9">
      <c r="C218" s="379"/>
      <c r="D218" s="367"/>
      <c r="E218" s="312"/>
      <c r="F218" s="312"/>
      <c r="I218" s="313"/>
    </row>
    <row r="219" spans="3:9">
      <c r="C219" s="379"/>
      <c r="D219" s="367"/>
      <c r="E219" s="312"/>
      <c r="F219" s="312"/>
      <c r="I219" s="313"/>
    </row>
    <row r="220" spans="3:9">
      <c r="C220" s="379"/>
      <c r="D220" s="367"/>
      <c r="E220" s="312"/>
      <c r="F220" s="312"/>
      <c r="I220" s="313"/>
    </row>
    <row r="221" spans="3:9">
      <c r="C221" s="379"/>
      <c r="D221" s="367"/>
      <c r="E221" s="312"/>
      <c r="F221" s="312"/>
      <c r="I221" s="313"/>
    </row>
    <row r="222" spans="3:9">
      <c r="C222" s="379"/>
      <c r="D222" s="367"/>
      <c r="E222" s="312"/>
      <c r="F222" s="312"/>
      <c r="I222" s="313"/>
    </row>
    <row r="223" spans="3:9">
      <c r="C223" s="379"/>
      <c r="D223" s="367"/>
      <c r="E223" s="312"/>
      <c r="F223" s="312"/>
      <c r="I223" s="313"/>
    </row>
    <row r="224" spans="3:9">
      <c r="C224" s="379"/>
      <c r="D224" s="367"/>
      <c r="E224" s="312"/>
      <c r="F224" s="312"/>
      <c r="I224" s="313"/>
    </row>
    <row r="225" spans="3:9">
      <c r="C225" s="379"/>
      <c r="D225" s="367"/>
      <c r="E225" s="312"/>
      <c r="F225" s="312"/>
      <c r="I225" s="313"/>
    </row>
    <row r="226" spans="3:9">
      <c r="C226" s="379"/>
      <c r="D226" s="367"/>
      <c r="E226" s="312"/>
      <c r="F226" s="312"/>
      <c r="I226" s="313"/>
    </row>
    <row r="227" spans="3:9">
      <c r="C227" s="379"/>
      <c r="D227" s="367"/>
      <c r="E227" s="312"/>
      <c r="F227" s="312"/>
      <c r="I227" s="313"/>
    </row>
    <row r="228" spans="3:9">
      <c r="C228" s="379"/>
      <c r="D228" s="367"/>
      <c r="E228" s="312"/>
      <c r="F228" s="312"/>
      <c r="I228" s="313"/>
    </row>
    <row r="229" spans="3:9">
      <c r="C229" s="379"/>
      <c r="D229" s="367"/>
      <c r="E229" s="312"/>
      <c r="F229" s="312"/>
      <c r="I229" s="313"/>
    </row>
    <row r="230" spans="3:9">
      <c r="C230" s="379"/>
      <c r="D230" s="367"/>
      <c r="E230" s="312"/>
      <c r="F230" s="312"/>
      <c r="I230" s="313"/>
    </row>
    <row r="231" spans="3:9">
      <c r="C231" s="379"/>
      <c r="D231" s="367"/>
      <c r="E231" s="312"/>
      <c r="F231" s="312"/>
      <c r="I231" s="313"/>
    </row>
    <row r="232" spans="3:9">
      <c r="C232" s="379"/>
      <c r="D232" s="367"/>
      <c r="E232" s="312"/>
      <c r="F232" s="312"/>
      <c r="I232" s="313"/>
    </row>
    <row r="233" spans="3:9">
      <c r="C233" s="379"/>
      <c r="D233" s="367"/>
      <c r="E233" s="312"/>
      <c r="F233" s="312"/>
      <c r="I233" s="313"/>
    </row>
    <row r="234" spans="3:9">
      <c r="C234" s="379"/>
      <c r="D234" s="367"/>
      <c r="E234" s="312"/>
      <c r="F234" s="312"/>
      <c r="I234" s="313"/>
    </row>
    <row r="235" spans="3:9">
      <c r="C235" s="379"/>
      <c r="D235" s="367"/>
      <c r="E235" s="312"/>
      <c r="F235" s="312"/>
      <c r="I235" s="313"/>
    </row>
    <row r="236" spans="3:9">
      <c r="C236" s="379"/>
      <c r="D236" s="367"/>
      <c r="E236" s="312"/>
      <c r="F236" s="312"/>
      <c r="I236" s="313"/>
    </row>
    <row r="237" spans="3:9">
      <c r="C237" s="379"/>
      <c r="D237" s="367"/>
      <c r="E237" s="312"/>
      <c r="F237" s="312"/>
      <c r="I237" s="313"/>
    </row>
    <row r="238" spans="3:9">
      <c r="C238" s="379"/>
      <c r="D238" s="367"/>
      <c r="E238" s="312"/>
      <c r="F238" s="312"/>
      <c r="I238" s="313"/>
    </row>
    <row r="239" spans="3:9">
      <c r="C239" s="379"/>
      <c r="D239" s="367"/>
      <c r="E239" s="312"/>
      <c r="F239" s="312"/>
      <c r="I239" s="313"/>
    </row>
    <row r="240" spans="3:9">
      <c r="C240" s="379"/>
      <c r="D240" s="367"/>
      <c r="E240" s="312"/>
      <c r="F240" s="312"/>
      <c r="I240" s="313"/>
    </row>
    <row r="241" spans="3:9">
      <c r="C241" s="379"/>
      <c r="D241" s="367"/>
      <c r="E241" s="312"/>
      <c r="F241" s="312"/>
      <c r="I241" s="313"/>
    </row>
    <row r="242" spans="3:9">
      <c r="C242" s="379"/>
      <c r="D242" s="367"/>
      <c r="E242" s="312"/>
      <c r="F242" s="312"/>
      <c r="I242" s="313"/>
    </row>
    <row r="243" spans="3:9">
      <c r="C243" s="379"/>
      <c r="D243" s="367"/>
      <c r="E243" s="312"/>
      <c r="F243" s="312"/>
      <c r="I243" s="313"/>
    </row>
    <row r="244" spans="3:9">
      <c r="C244" s="379"/>
      <c r="D244" s="367"/>
      <c r="E244" s="312"/>
      <c r="F244" s="312"/>
      <c r="I244" s="313"/>
    </row>
    <row r="245" spans="3:9">
      <c r="C245" s="379"/>
      <c r="D245" s="367"/>
      <c r="E245" s="312"/>
      <c r="F245" s="312"/>
      <c r="I245" s="313"/>
    </row>
    <row r="246" spans="3:9">
      <c r="C246" s="379"/>
      <c r="D246" s="367"/>
      <c r="E246" s="312"/>
      <c r="F246" s="312"/>
      <c r="I246" s="313"/>
    </row>
    <row r="247" spans="3:9">
      <c r="C247" s="379"/>
      <c r="D247" s="367"/>
      <c r="E247" s="312"/>
      <c r="F247" s="312"/>
      <c r="I247" s="313"/>
    </row>
    <row r="248" spans="3:9">
      <c r="C248" s="379"/>
      <c r="D248" s="367"/>
      <c r="E248" s="312"/>
      <c r="F248" s="312"/>
      <c r="I248" s="313"/>
    </row>
    <row r="249" spans="3:9">
      <c r="C249" s="379"/>
      <c r="D249" s="367"/>
      <c r="E249" s="312"/>
      <c r="F249" s="312"/>
      <c r="I249" s="313"/>
    </row>
    <row r="250" spans="3:9">
      <c r="C250" s="379"/>
      <c r="D250" s="367"/>
      <c r="E250" s="312"/>
      <c r="F250" s="312"/>
      <c r="I250" s="313"/>
    </row>
    <row r="251" spans="3:9">
      <c r="C251" s="379"/>
      <c r="D251" s="367"/>
      <c r="E251" s="312"/>
      <c r="F251" s="312"/>
      <c r="I251" s="313"/>
    </row>
    <row r="252" spans="3:9">
      <c r="C252" s="379"/>
      <c r="D252" s="367"/>
      <c r="E252" s="312"/>
      <c r="F252" s="312"/>
      <c r="I252" s="313"/>
    </row>
    <row r="253" spans="3:9">
      <c r="C253" s="379"/>
      <c r="D253" s="367"/>
      <c r="E253" s="312"/>
      <c r="F253" s="312"/>
      <c r="I253" s="313"/>
    </row>
    <row r="254" spans="3:9">
      <c r="C254" s="379"/>
      <c r="D254" s="367"/>
      <c r="E254" s="312"/>
      <c r="F254" s="312"/>
      <c r="I254" s="313"/>
    </row>
    <row r="255" spans="3:9">
      <c r="C255" s="379"/>
      <c r="D255" s="367"/>
      <c r="E255" s="312"/>
      <c r="F255" s="312"/>
      <c r="I255" s="313"/>
    </row>
    <row r="256" spans="3:9">
      <c r="C256" s="379"/>
      <c r="D256" s="367"/>
      <c r="E256" s="312"/>
      <c r="F256" s="312"/>
      <c r="I256" s="313"/>
    </row>
    <row r="257" spans="3:9">
      <c r="C257" s="379"/>
      <c r="D257" s="367"/>
      <c r="E257" s="312"/>
      <c r="F257" s="312"/>
      <c r="I257" s="313"/>
    </row>
    <row r="258" spans="3:9">
      <c r="C258" s="379"/>
      <c r="D258" s="367"/>
      <c r="E258" s="312"/>
      <c r="F258" s="312"/>
      <c r="I258" s="313"/>
    </row>
    <row r="259" spans="3:9">
      <c r="C259" s="379"/>
      <c r="D259" s="367"/>
      <c r="E259" s="312"/>
      <c r="F259" s="312"/>
      <c r="I259" s="313"/>
    </row>
    <row r="260" spans="3:9">
      <c r="C260" s="379"/>
      <c r="D260" s="367"/>
      <c r="E260" s="312"/>
      <c r="F260" s="312"/>
      <c r="I260" s="313"/>
    </row>
    <row r="261" spans="3:9">
      <c r="C261" s="379"/>
      <c r="D261" s="367"/>
      <c r="E261" s="312"/>
      <c r="F261" s="312"/>
      <c r="I261" s="313"/>
    </row>
    <row r="262" spans="3:9">
      <c r="C262" s="379"/>
      <c r="D262" s="367"/>
      <c r="E262" s="312"/>
      <c r="F262" s="312"/>
      <c r="I262" s="313"/>
    </row>
    <row r="263" spans="3:9">
      <c r="C263" s="379"/>
      <c r="D263" s="367"/>
      <c r="E263" s="312"/>
      <c r="F263" s="312"/>
      <c r="I263" s="313"/>
    </row>
    <row r="264" spans="3:9">
      <c r="C264" s="379"/>
      <c r="D264" s="367"/>
      <c r="E264" s="312"/>
      <c r="F264" s="312"/>
      <c r="I264" s="313"/>
    </row>
    <row r="265" spans="3:9">
      <c r="C265" s="379"/>
      <c r="D265" s="367"/>
      <c r="E265" s="312"/>
      <c r="F265" s="312"/>
      <c r="I265" s="313"/>
    </row>
    <row r="266" spans="3:9">
      <c r="C266" s="379"/>
      <c r="D266" s="367"/>
      <c r="E266" s="312"/>
      <c r="F266" s="312"/>
      <c r="I266" s="313"/>
    </row>
    <row r="267" spans="3:9">
      <c r="C267" s="379"/>
      <c r="D267" s="367"/>
      <c r="E267" s="312"/>
      <c r="F267" s="312"/>
      <c r="I267" s="313"/>
    </row>
    <row r="268" spans="3:9">
      <c r="C268" s="379"/>
      <c r="D268" s="367"/>
      <c r="E268" s="312"/>
      <c r="F268" s="312"/>
      <c r="I268" s="313"/>
    </row>
    <row r="269" spans="3:9">
      <c r="C269" s="379"/>
      <c r="D269" s="367"/>
      <c r="E269" s="312"/>
      <c r="F269" s="312"/>
      <c r="I269" s="313"/>
    </row>
    <row r="270" spans="3:9">
      <c r="C270" s="379"/>
      <c r="D270" s="367"/>
      <c r="E270" s="312"/>
      <c r="F270" s="312"/>
      <c r="I270" s="313"/>
    </row>
    <row r="271" spans="3:9">
      <c r="C271" s="379"/>
      <c r="D271" s="367"/>
      <c r="E271" s="312"/>
      <c r="F271" s="312"/>
      <c r="I271" s="313"/>
    </row>
    <row r="272" spans="3:9">
      <c r="C272" s="379"/>
      <c r="D272" s="367"/>
      <c r="E272" s="312"/>
      <c r="F272" s="312"/>
      <c r="I272" s="313"/>
    </row>
    <row r="273" spans="3:9">
      <c r="C273" s="379"/>
      <c r="D273" s="367"/>
      <c r="E273" s="312"/>
      <c r="F273" s="312"/>
      <c r="I273" s="313"/>
    </row>
    <row r="274" spans="3:9">
      <c r="C274" s="379"/>
      <c r="D274" s="367"/>
      <c r="E274" s="312"/>
      <c r="F274" s="312"/>
      <c r="I274" s="313"/>
    </row>
    <row r="275" spans="3:9">
      <c r="C275" s="379"/>
      <c r="D275" s="367"/>
      <c r="E275" s="312"/>
      <c r="F275" s="312"/>
      <c r="I275" s="313"/>
    </row>
    <row r="276" spans="3:9">
      <c r="C276" s="379"/>
      <c r="D276" s="367"/>
      <c r="E276" s="312"/>
      <c r="F276" s="312"/>
      <c r="I276" s="313"/>
    </row>
    <row r="277" spans="3:9">
      <c r="C277" s="379"/>
      <c r="D277" s="367"/>
      <c r="E277" s="312"/>
      <c r="F277" s="312"/>
      <c r="I277" s="313"/>
    </row>
    <row r="278" spans="3:9">
      <c r="C278" s="379"/>
      <c r="D278" s="367"/>
      <c r="E278" s="312"/>
      <c r="F278" s="312"/>
      <c r="I278" s="313"/>
    </row>
    <row r="279" spans="3:9">
      <c r="C279" s="379"/>
      <c r="D279" s="367"/>
      <c r="E279" s="312"/>
      <c r="F279" s="312"/>
      <c r="I279" s="313"/>
    </row>
    <row r="280" spans="3:9">
      <c r="C280" s="379"/>
      <c r="D280" s="367"/>
      <c r="E280" s="312"/>
      <c r="F280" s="312"/>
      <c r="I280" s="313"/>
    </row>
    <row r="281" spans="3:9">
      <c r="C281" s="379"/>
      <c r="D281" s="367"/>
      <c r="E281" s="312"/>
      <c r="F281" s="312"/>
      <c r="I281" s="313"/>
    </row>
    <row r="282" spans="3:9">
      <c r="C282" s="379"/>
      <c r="D282" s="367"/>
      <c r="E282" s="312"/>
      <c r="F282" s="312"/>
      <c r="I282" s="313"/>
    </row>
    <row r="283" spans="3:9">
      <c r="C283" s="379"/>
      <c r="D283" s="367"/>
      <c r="E283" s="312"/>
      <c r="F283" s="312"/>
      <c r="I283" s="313"/>
    </row>
    <row r="284" spans="3:9">
      <c r="C284" s="379"/>
      <c r="D284" s="367"/>
      <c r="E284" s="312"/>
      <c r="F284" s="312"/>
      <c r="I284" s="313"/>
    </row>
    <row r="285" spans="3:9">
      <c r="C285" s="379"/>
      <c r="D285" s="367"/>
      <c r="E285" s="312"/>
      <c r="F285" s="312"/>
      <c r="I285" s="313"/>
    </row>
    <row r="286" spans="3:9">
      <c r="C286" s="379"/>
      <c r="D286" s="367"/>
      <c r="E286" s="312"/>
      <c r="F286" s="312"/>
      <c r="I286" s="313"/>
    </row>
    <row r="287" spans="3:9">
      <c r="C287" s="379"/>
      <c r="D287" s="367"/>
      <c r="E287" s="312"/>
      <c r="F287" s="312"/>
      <c r="I287" s="313"/>
    </row>
    <row r="288" spans="3:9">
      <c r="C288" s="379"/>
      <c r="D288" s="367"/>
      <c r="E288" s="312"/>
      <c r="F288" s="312"/>
      <c r="I288" s="313"/>
    </row>
    <row r="289" spans="3:9">
      <c r="C289" s="379"/>
      <c r="D289" s="367"/>
      <c r="E289" s="312"/>
      <c r="F289" s="312"/>
      <c r="I289" s="313"/>
    </row>
    <row r="290" spans="3:9">
      <c r="C290" s="379"/>
      <c r="D290" s="367"/>
      <c r="E290" s="312"/>
      <c r="F290" s="312"/>
      <c r="I290" s="313"/>
    </row>
    <row r="291" spans="3:9">
      <c r="C291" s="379"/>
      <c r="D291" s="367"/>
      <c r="E291" s="312"/>
      <c r="F291" s="312"/>
      <c r="I291" s="313"/>
    </row>
    <row r="292" spans="3:9">
      <c r="C292" s="379"/>
      <c r="D292" s="367"/>
      <c r="E292" s="312"/>
      <c r="F292" s="312"/>
      <c r="I292" s="313"/>
    </row>
    <row r="293" spans="3:9">
      <c r="C293" s="379"/>
      <c r="D293" s="367"/>
      <c r="E293" s="312"/>
      <c r="F293" s="312"/>
      <c r="I293" s="313"/>
    </row>
    <row r="294" spans="3:9">
      <c r="C294" s="379"/>
      <c r="D294" s="367"/>
      <c r="E294" s="312"/>
      <c r="F294" s="312"/>
      <c r="I294" s="313"/>
    </row>
    <row r="295" spans="3:9">
      <c r="C295" s="379"/>
      <c r="D295" s="367"/>
      <c r="E295" s="312"/>
      <c r="F295" s="312"/>
      <c r="I295" s="313"/>
    </row>
    <row r="296" spans="3:9">
      <c r="C296" s="379"/>
      <c r="D296" s="367"/>
      <c r="E296" s="312"/>
      <c r="F296" s="312"/>
      <c r="I296" s="313"/>
    </row>
    <row r="297" spans="3:9">
      <c r="C297" s="379"/>
      <c r="D297" s="367"/>
      <c r="E297" s="312"/>
      <c r="F297" s="312"/>
      <c r="I297" s="313"/>
    </row>
    <row r="298" spans="3:9">
      <c r="C298" s="379"/>
      <c r="D298" s="367"/>
      <c r="E298" s="312"/>
      <c r="F298" s="312"/>
      <c r="I298" s="313"/>
    </row>
    <row r="299" spans="3:9">
      <c r="C299" s="379"/>
      <c r="D299" s="367"/>
      <c r="E299" s="312"/>
      <c r="F299" s="312"/>
      <c r="I299" s="313"/>
    </row>
    <row r="300" spans="3:9">
      <c r="C300" s="379"/>
      <c r="D300" s="367"/>
      <c r="E300" s="312"/>
      <c r="F300" s="312"/>
      <c r="I300" s="313"/>
    </row>
    <row r="301" spans="3:9">
      <c r="C301" s="379"/>
      <c r="D301" s="367"/>
      <c r="E301" s="312"/>
      <c r="F301" s="312"/>
      <c r="I301" s="313"/>
    </row>
    <row r="302" spans="3:9">
      <c r="C302" s="379"/>
      <c r="D302" s="367"/>
      <c r="E302" s="312"/>
      <c r="F302" s="312"/>
      <c r="I302" s="313"/>
    </row>
    <row r="303" spans="3:9">
      <c r="C303" s="379"/>
      <c r="D303" s="367"/>
      <c r="E303" s="312"/>
      <c r="F303" s="312"/>
      <c r="I303" s="313"/>
    </row>
    <row r="304" spans="3:9">
      <c r="C304" s="379"/>
      <c r="D304" s="367"/>
      <c r="E304" s="312"/>
      <c r="F304" s="312"/>
      <c r="I304" s="313"/>
    </row>
    <row r="305" spans="3:9">
      <c r="C305" s="379"/>
      <c r="D305" s="367"/>
      <c r="E305" s="312"/>
      <c r="F305" s="312"/>
      <c r="I305" s="313"/>
    </row>
    <row r="306" spans="3:9">
      <c r="C306" s="379"/>
      <c r="D306" s="367"/>
      <c r="E306" s="312"/>
      <c r="F306" s="312"/>
      <c r="I306" s="313"/>
    </row>
    <row r="307" spans="3:9">
      <c r="C307" s="379"/>
      <c r="D307" s="367"/>
      <c r="E307" s="312"/>
      <c r="F307" s="312"/>
      <c r="I307" s="313"/>
    </row>
    <row r="308" spans="3:9">
      <c r="C308" s="379"/>
      <c r="D308" s="367"/>
      <c r="E308" s="312"/>
      <c r="F308" s="312"/>
      <c r="I308" s="313"/>
    </row>
    <row r="309" spans="3:9">
      <c r="C309" s="379"/>
      <c r="D309" s="367"/>
      <c r="E309" s="312"/>
      <c r="F309" s="312"/>
      <c r="I309" s="313"/>
    </row>
    <row r="310" spans="3:9">
      <c r="C310" s="379"/>
      <c r="D310" s="367"/>
      <c r="E310" s="312"/>
      <c r="F310" s="312"/>
      <c r="I310" s="313"/>
    </row>
    <row r="311" spans="3:9">
      <c r="C311" s="379"/>
      <c r="D311" s="367"/>
      <c r="E311" s="312"/>
      <c r="F311" s="312"/>
      <c r="I311" s="313"/>
    </row>
    <row r="312" spans="3:9">
      <c r="C312" s="379"/>
      <c r="D312" s="367"/>
      <c r="E312" s="312"/>
      <c r="F312" s="312"/>
      <c r="I312" s="313"/>
    </row>
    <row r="313" spans="3:9">
      <c r="C313" s="379"/>
      <c r="D313" s="367"/>
      <c r="E313" s="312"/>
      <c r="F313" s="312"/>
      <c r="I313" s="313"/>
    </row>
    <row r="314" spans="3:9">
      <c r="C314" s="379"/>
      <c r="D314" s="367"/>
      <c r="E314" s="312"/>
      <c r="F314" s="312"/>
      <c r="I314" s="313"/>
    </row>
    <row r="315" spans="3:9">
      <c r="C315" s="379"/>
      <c r="D315" s="367"/>
      <c r="E315" s="312"/>
      <c r="F315" s="312"/>
      <c r="I315" s="313"/>
    </row>
    <row r="316" spans="3:9">
      <c r="C316" s="379"/>
      <c r="D316" s="367"/>
      <c r="E316" s="312"/>
      <c r="F316" s="312"/>
      <c r="I316" s="313"/>
    </row>
    <row r="317" spans="3:9">
      <c r="C317" s="379"/>
      <c r="D317" s="367"/>
      <c r="E317" s="312"/>
      <c r="F317" s="312"/>
      <c r="I317" s="313"/>
    </row>
    <row r="318" spans="3:9">
      <c r="C318" s="379"/>
      <c r="D318" s="367"/>
      <c r="E318" s="312"/>
      <c r="F318" s="312"/>
      <c r="I318" s="313"/>
    </row>
    <row r="319" spans="3:9">
      <c r="C319" s="379"/>
      <c r="D319" s="367"/>
      <c r="E319" s="312"/>
      <c r="F319" s="312"/>
      <c r="I319" s="313"/>
    </row>
    <row r="320" spans="3:9">
      <c r="C320" s="379"/>
      <c r="D320" s="367"/>
      <c r="E320" s="312"/>
      <c r="F320" s="312"/>
      <c r="I320" s="313"/>
    </row>
    <row r="321" spans="3:9">
      <c r="C321" s="379"/>
      <c r="D321" s="367"/>
      <c r="E321" s="312"/>
      <c r="F321" s="312"/>
      <c r="I321" s="313"/>
    </row>
    <row r="322" spans="3:9">
      <c r="C322" s="379"/>
      <c r="D322" s="367"/>
      <c r="E322" s="312"/>
      <c r="F322" s="312"/>
      <c r="I322" s="313"/>
    </row>
    <row r="323" spans="3:9">
      <c r="C323" s="379"/>
      <c r="D323" s="367"/>
      <c r="E323" s="312"/>
      <c r="F323" s="312"/>
      <c r="I323" s="313"/>
    </row>
    <row r="324" spans="3:9">
      <c r="C324" s="379"/>
      <c r="D324" s="367"/>
      <c r="E324" s="312"/>
      <c r="F324" s="312"/>
      <c r="I324" s="313"/>
    </row>
    <row r="325" spans="3:9">
      <c r="C325" s="379"/>
      <c r="D325" s="367"/>
      <c r="E325" s="312"/>
      <c r="F325" s="312"/>
      <c r="I325" s="313"/>
    </row>
    <row r="326" spans="3:9">
      <c r="C326" s="379"/>
      <c r="D326" s="367"/>
      <c r="E326" s="312"/>
      <c r="F326" s="312"/>
      <c r="I326" s="313"/>
    </row>
    <row r="327" spans="3:9">
      <c r="C327" s="379"/>
      <c r="D327" s="367"/>
      <c r="E327" s="312"/>
      <c r="F327" s="312"/>
      <c r="I327" s="313"/>
    </row>
    <row r="328" spans="3:9">
      <c r="C328" s="379"/>
      <c r="D328" s="367"/>
      <c r="E328" s="312"/>
      <c r="F328" s="312"/>
      <c r="I328" s="313"/>
    </row>
    <row r="329" spans="3:9">
      <c r="C329" s="379"/>
      <c r="D329" s="367"/>
      <c r="E329" s="312"/>
      <c r="F329" s="312"/>
      <c r="I329" s="313"/>
    </row>
    <row r="330" spans="3:9">
      <c r="C330" s="379"/>
      <c r="D330" s="367"/>
      <c r="E330" s="312"/>
      <c r="F330" s="312"/>
      <c r="I330" s="313"/>
    </row>
    <row r="331" spans="3:9">
      <c r="C331" s="379"/>
      <c r="D331" s="367"/>
      <c r="E331" s="312"/>
      <c r="F331" s="312"/>
      <c r="I331" s="313"/>
    </row>
    <row r="332" spans="3:9">
      <c r="C332" s="379"/>
      <c r="D332" s="367"/>
      <c r="E332" s="312"/>
      <c r="F332" s="312"/>
      <c r="I332" s="313"/>
    </row>
    <row r="333" spans="3:9">
      <c r="C333" s="379"/>
      <c r="D333" s="367"/>
      <c r="E333" s="312"/>
      <c r="F333" s="312"/>
      <c r="I333" s="313"/>
    </row>
    <row r="334" spans="3:9">
      <c r="C334" s="379"/>
      <c r="D334" s="367"/>
      <c r="E334" s="312"/>
      <c r="F334" s="312"/>
      <c r="I334" s="313"/>
    </row>
    <row r="335" spans="3:9">
      <c r="C335" s="379"/>
      <c r="D335" s="367"/>
      <c r="E335" s="312"/>
      <c r="F335" s="312"/>
      <c r="I335" s="313"/>
    </row>
    <row r="336" spans="3:9">
      <c r="C336" s="379"/>
      <c r="D336" s="367"/>
      <c r="E336" s="312"/>
      <c r="F336" s="312"/>
      <c r="I336" s="313"/>
    </row>
    <row r="337" spans="3:9">
      <c r="C337" s="379"/>
      <c r="D337" s="367"/>
      <c r="E337" s="312"/>
      <c r="F337" s="312"/>
      <c r="I337" s="313"/>
    </row>
    <row r="338" spans="3:9">
      <c r="C338" s="379"/>
      <c r="D338" s="367"/>
      <c r="E338" s="312"/>
      <c r="F338" s="312"/>
      <c r="I338" s="313"/>
    </row>
    <row r="339" spans="3:9">
      <c r="C339" s="379"/>
      <c r="D339" s="367"/>
      <c r="E339" s="312"/>
      <c r="F339" s="312"/>
      <c r="I339" s="313"/>
    </row>
    <row r="340" spans="3:9">
      <c r="C340" s="379"/>
      <c r="D340" s="367"/>
      <c r="E340" s="312"/>
      <c r="F340" s="312"/>
      <c r="I340" s="313"/>
    </row>
    <row r="341" spans="3:9">
      <c r="C341" s="379"/>
      <c r="D341" s="367"/>
      <c r="E341" s="312"/>
      <c r="F341" s="312"/>
      <c r="I341" s="313"/>
    </row>
    <row r="342" spans="3:9">
      <c r="C342" s="379"/>
      <c r="D342" s="367"/>
      <c r="E342" s="312"/>
      <c r="F342" s="312"/>
      <c r="I342" s="313"/>
    </row>
    <row r="343" spans="3:9">
      <c r="C343" s="379"/>
      <c r="D343" s="367"/>
      <c r="E343" s="312"/>
      <c r="F343" s="312"/>
      <c r="I343" s="313"/>
    </row>
    <row r="344" spans="3:9">
      <c r="C344" s="379"/>
      <c r="D344" s="367"/>
      <c r="E344" s="312"/>
      <c r="F344" s="312"/>
      <c r="I344" s="313"/>
    </row>
    <row r="345" spans="3:9">
      <c r="C345" s="379"/>
      <c r="D345" s="367"/>
      <c r="E345" s="312"/>
      <c r="F345" s="312"/>
      <c r="I345" s="313"/>
    </row>
    <row r="346" spans="3:9">
      <c r="C346" s="379"/>
      <c r="D346" s="367"/>
      <c r="E346" s="312"/>
      <c r="F346" s="312"/>
      <c r="I346" s="313"/>
    </row>
    <row r="347" spans="3:9">
      <c r="C347" s="379"/>
      <c r="D347" s="367"/>
      <c r="E347" s="312"/>
      <c r="F347" s="312"/>
      <c r="I347" s="313"/>
    </row>
    <row r="348" spans="3:9">
      <c r="C348" s="379"/>
      <c r="D348" s="367"/>
      <c r="E348" s="312"/>
      <c r="F348" s="312"/>
      <c r="I348" s="313"/>
    </row>
    <row r="349" spans="3:9">
      <c r="C349" s="379"/>
      <c r="D349" s="367"/>
      <c r="E349" s="312"/>
      <c r="F349" s="312"/>
      <c r="I349" s="313"/>
    </row>
    <row r="350" spans="3:9">
      <c r="C350" s="379"/>
      <c r="D350" s="367"/>
      <c r="E350" s="312"/>
      <c r="F350" s="312"/>
      <c r="I350" s="313"/>
    </row>
    <row r="351" spans="3:9">
      <c r="C351" s="379"/>
      <c r="D351" s="367"/>
      <c r="E351" s="312"/>
      <c r="F351" s="312"/>
      <c r="I351" s="313"/>
    </row>
    <row r="352" spans="3:9">
      <c r="C352" s="379"/>
      <c r="D352" s="367"/>
      <c r="E352" s="312"/>
      <c r="F352" s="312"/>
      <c r="I352" s="313"/>
    </row>
    <row r="353" spans="3:9">
      <c r="C353" s="379"/>
      <c r="D353" s="367"/>
      <c r="E353" s="312"/>
      <c r="F353" s="312"/>
      <c r="I353" s="313"/>
    </row>
    <row r="354" spans="3:9">
      <c r="C354" s="379"/>
      <c r="D354" s="367"/>
      <c r="E354" s="312"/>
      <c r="F354" s="312"/>
      <c r="I354" s="313"/>
    </row>
    <row r="355" spans="3:9">
      <c r="C355" s="379"/>
      <c r="D355" s="367"/>
      <c r="E355" s="312"/>
      <c r="F355" s="312"/>
      <c r="I355" s="313"/>
    </row>
    <row r="356" spans="3:9">
      <c r="C356" s="379"/>
      <c r="D356" s="367"/>
      <c r="E356" s="312"/>
      <c r="F356" s="312"/>
      <c r="I356" s="313"/>
    </row>
    <row r="357" spans="3:9">
      <c r="C357" s="379"/>
      <c r="D357" s="367"/>
      <c r="E357" s="312"/>
      <c r="F357" s="312"/>
      <c r="I357" s="313"/>
    </row>
    <row r="358" spans="3:9">
      <c r="C358" s="379"/>
      <c r="D358" s="367"/>
      <c r="E358" s="312"/>
      <c r="F358" s="312"/>
      <c r="I358" s="313"/>
    </row>
    <row r="359" spans="3:9">
      <c r="C359" s="379"/>
      <c r="D359" s="367"/>
      <c r="E359" s="312"/>
      <c r="F359" s="312"/>
      <c r="I359" s="313"/>
    </row>
    <row r="360" spans="3:9">
      <c r="C360" s="379"/>
      <c r="D360" s="367"/>
      <c r="E360" s="312"/>
      <c r="F360" s="312"/>
      <c r="I360" s="313"/>
    </row>
    <row r="361" spans="3:9">
      <c r="C361" s="379"/>
      <c r="D361" s="367"/>
      <c r="E361" s="312"/>
      <c r="F361" s="312"/>
      <c r="I361" s="313"/>
    </row>
    <row r="362" spans="3:9">
      <c r="C362" s="379"/>
      <c r="D362" s="367"/>
      <c r="E362" s="312"/>
      <c r="F362" s="312"/>
      <c r="I362" s="313"/>
    </row>
    <row r="363" spans="3:9">
      <c r="C363" s="379"/>
      <c r="D363" s="367"/>
      <c r="E363" s="312"/>
      <c r="F363" s="312"/>
      <c r="I363" s="313"/>
    </row>
    <row r="364" spans="3:9">
      <c r="C364" s="379"/>
      <c r="D364" s="367"/>
      <c r="E364" s="312"/>
      <c r="F364" s="312"/>
      <c r="I364" s="313"/>
    </row>
    <row r="365" spans="3:9">
      <c r="C365" s="379"/>
      <c r="D365" s="367"/>
      <c r="E365" s="312"/>
      <c r="F365" s="312"/>
      <c r="I365" s="313"/>
    </row>
    <row r="366" spans="3:9">
      <c r="C366" s="379"/>
      <c r="D366" s="367"/>
      <c r="E366" s="312"/>
      <c r="F366" s="312"/>
      <c r="I366" s="313"/>
    </row>
    <row r="367" spans="3:9">
      <c r="C367" s="379"/>
      <c r="D367" s="367"/>
      <c r="E367" s="312"/>
      <c r="F367" s="312"/>
      <c r="I367" s="313"/>
    </row>
    <row r="368" spans="3:9">
      <c r="C368" s="379"/>
      <c r="D368" s="367"/>
      <c r="E368" s="312"/>
      <c r="F368" s="312"/>
      <c r="I368" s="313"/>
    </row>
    <row r="369" spans="3:9">
      <c r="C369" s="379"/>
      <c r="D369" s="367"/>
      <c r="E369" s="312"/>
      <c r="F369" s="312"/>
      <c r="I369" s="313"/>
    </row>
    <row r="370" spans="3:9">
      <c r="C370" s="379"/>
      <c r="D370" s="367"/>
      <c r="E370" s="312"/>
      <c r="F370" s="312"/>
      <c r="I370" s="313"/>
    </row>
    <row r="371" spans="3:9">
      <c r="C371" s="379"/>
      <c r="D371" s="367"/>
      <c r="E371" s="312"/>
      <c r="F371" s="312"/>
      <c r="I371" s="313"/>
    </row>
    <row r="372" spans="3:9">
      <c r="C372" s="379"/>
      <c r="D372" s="367"/>
      <c r="E372" s="312"/>
      <c r="F372" s="312"/>
      <c r="I372" s="313"/>
    </row>
    <row r="373" spans="3:9">
      <c r="C373" s="379"/>
      <c r="D373" s="367"/>
      <c r="E373" s="312"/>
      <c r="F373" s="312"/>
      <c r="I373" s="313"/>
    </row>
    <row r="374" spans="3:9">
      <c r="C374" s="379"/>
      <c r="D374" s="367"/>
      <c r="E374" s="312"/>
      <c r="F374" s="312"/>
      <c r="I374" s="313"/>
    </row>
    <row r="375" spans="3:9">
      <c r="C375" s="379"/>
      <c r="D375" s="367"/>
      <c r="E375" s="312"/>
      <c r="F375" s="312"/>
      <c r="I375" s="313"/>
    </row>
    <row r="376" spans="3:9">
      <c r="C376" s="379"/>
      <c r="D376" s="367"/>
      <c r="E376" s="312"/>
      <c r="F376" s="312"/>
      <c r="I376" s="313"/>
    </row>
    <row r="377" spans="3:9">
      <c r="C377" s="379"/>
      <c r="D377" s="367"/>
      <c r="E377" s="312"/>
      <c r="F377" s="312"/>
      <c r="I377" s="313"/>
    </row>
    <row r="378" spans="3:9">
      <c r="C378" s="379"/>
      <c r="D378" s="367"/>
      <c r="E378" s="312"/>
      <c r="F378" s="312"/>
      <c r="I378" s="313"/>
    </row>
    <row r="379" spans="3:9">
      <c r="C379" s="379"/>
      <c r="D379" s="367"/>
      <c r="E379" s="312"/>
      <c r="F379" s="312"/>
      <c r="I379" s="313"/>
    </row>
    <row r="380" spans="3:9">
      <c r="C380" s="379"/>
      <c r="D380" s="367"/>
      <c r="E380" s="312"/>
      <c r="F380" s="312"/>
      <c r="I380" s="313"/>
    </row>
    <row r="381" spans="3:9">
      <c r="C381" s="379"/>
      <c r="D381" s="367"/>
      <c r="E381" s="312"/>
      <c r="F381" s="312"/>
      <c r="I381" s="313"/>
    </row>
    <row r="382" spans="3:9">
      <c r="C382" s="379"/>
      <c r="D382" s="367"/>
      <c r="E382" s="312"/>
      <c r="F382" s="312"/>
      <c r="I382" s="313"/>
    </row>
    <row r="383" spans="3:9">
      <c r="C383" s="379"/>
      <c r="D383" s="367"/>
      <c r="E383" s="312"/>
      <c r="F383" s="312"/>
      <c r="I383" s="313"/>
    </row>
    <row r="384" spans="3:9">
      <c r="C384" s="379"/>
      <c r="D384" s="367"/>
      <c r="E384" s="312"/>
      <c r="F384" s="312"/>
      <c r="I384" s="313"/>
    </row>
    <row r="385" spans="3:9">
      <c r="C385" s="379"/>
      <c r="D385" s="367"/>
      <c r="E385" s="312"/>
      <c r="F385" s="312"/>
      <c r="I385" s="313"/>
    </row>
    <row r="386" spans="3:9">
      <c r="C386" s="379"/>
      <c r="D386" s="367"/>
      <c r="E386" s="312"/>
      <c r="F386" s="312"/>
      <c r="I386" s="313"/>
    </row>
    <row r="387" spans="3:9">
      <c r="C387" s="379"/>
      <c r="D387" s="367"/>
      <c r="E387" s="312"/>
      <c r="F387" s="312"/>
      <c r="I387" s="313"/>
    </row>
    <row r="388" spans="3:9">
      <c r="C388" s="379"/>
      <c r="D388" s="367"/>
      <c r="E388" s="312"/>
      <c r="F388" s="312"/>
      <c r="I388" s="313"/>
    </row>
    <row r="389" spans="3:9">
      <c r="C389" s="379"/>
      <c r="D389" s="367"/>
      <c r="E389" s="312"/>
      <c r="F389" s="312"/>
      <c r="I389" s="313"/>
    </row>
    <row r="390" spans="3:9">
      <c r="C390" s="379"/>
      <c r="D390" s="367"/>
      <c r="E390" s="312"/>
      <c r="F390" s="312"/>
      <c r="I390" s="313"/>
    </row>
    <row r="391" spans="3:9">
      <c r="C391" s="379"/>
      <c r="D391" s="367"/>
      <c r="E391" s="312"/>
      <c r="F391" s="312"/>
      <c r="I391" s="313"/>
    </row>
    <row r="392" spans="3:9">
      <c r="C392" s="379"/>
      <c r="D392" s="367"/>
      <c r="E392" s="312"/>
      <c r="F392" s="312"/>
      <c r="I392" s="313"/>
    </row>
    <row r="393" spans="3:9">
      <c r="C393" s="379"/>
      <c r="D393" s="367"/>
      <c r="E393" s="312"/>
      <c r="F393" s="312"/>
      <c r="I393" s="313"/>
    </row>
    <row r="394" spans="3:9">
      <c r="C394" s="379"/>
      <c r="D394" s="367"/>
      <c r="E394" s="312"/>
      <c r="F394" s="312"/>
      <c r="I394" s="313"/>
    </row>
    <row r="395" spans="3:9">
      <c r="C395" s="379"/>
      <c r="D395" s="367"/>
      <c r="E395" s="312"/>
      <c r="F395" s="312"/>
      <c r="I395" s="313"/>
    </row>
    <row r="396" spans="3:9">
      <c r="C396" s="379"/>
      <c r="D396" s="367"/>
      <c r="E396" s="312"/>
      <c r="F396" s="312"/>
      <c r="I396" s="313"/>
    </row>
    <row r="397" spans="3:9">
      <c r="C397" s="379"/>
      <c r="D397" s="367"/>
      <c r="E397" s="312"/>
      <c r="F397" s="312"/>
      <c r="I397" s="313"/>
    </row>
    <row r="398" spans="3:9">
      <c r="C398" s="379"/>
      <c r="D398" s="367"/>
      <c r="E398" s="312"/>
      <c r="F398" s="312"/>
      <c r="I398" s="313"/>
    </row>
    <row r="399" spans="3:9">
      <c r="C399" s="379"/>
      <c r="D399" s="367"/>
      <c r="E399" s="312"/>
      <c r="F399" s="312"/>
      <c r="I399" s="313"/>
    </row>
    <row r="400" spans="3:9">
      <c r="C400" s="379"/>
      <c r="D400" s="367"/>
      <c r="E400" s="312"/>
      <c r="F400" s="312"/>
      <c r="I400" s="313"/>
    </row>
    <row r="401" spans="3:9">
      <c r="C401" s="379"/>
      <c r="D401" s="367"/>
      <c r="E401" s="312"/>
      <c r="F401" s="312"/>
      <c r="I401" s="313"/>
    </row>
    <row r="402" spans="3:9">
      <c r="C402" s="379"/>
      <c r="D402" s="367"/>
      <c r="E402" s="312"/>
      <c r="F402" s="312"/>
      <c r="I402" s="313"/>
    </row>
    <row r="403" spans="3:9">
      <c r="C403" s="379"/>
      <c r="D403" s="367"/>
      <c r="E403" s="312"/>
      <c r="F403" s="312"/>
      <c r="I403" s="313"/>
    </row>
    <row r="404" spans="3:9">
      <c r="C404" s="379"/>
      <c r="D404" s="367"/>
      <c r="E404" s="312"/>
      <c r="F404" s="312"/>
      <c r="I404" s="313"/>
    </row>
    <row r="405" spans="3:9">
      <c r="C405" s="379"/>
      <c r="D405" s="367"/>
      <c r="E405" s="312"/>
      <c r="F405" s="312"/>
      <c r="I405" s="313"/>
    </row>
    <row r="406" spans="3:9">
      <c r="C406" s="379"/>
      <c r="D406" s="367"/>
      <c r="E406" s="312"/>
      <c r="F406" s="312"/>
      <c r="I406" s="313"/>
    </row>
    <row r="407" spans="3:9">
      <c r="C407" s="379"/>
      <c r="D407" s="367"/>
      <c r="E407" s="312"/>
      <c r="F407" s="312"/>
      <c r="I407" s="313"/>
    </row>
    <row r="408" spans="3:9">
      <c r="C408" s="379"/>
      <c r="D408" s="367"/>
      <c r="E408" s="312"/>
      <c r="F408" s="312"/>
      <c r="I408" s="313"/>
    </row>
    <row r="409" spans="3:9">
      <c r="C409" s="379"/>
      <c r="D409" s="367"/>
      <c r="E409" s="312"/>
      <c r="F409" s="312"/>
      <c r="I409" s="313"/>
    </row>
    <row r="410" spans="3:9">
      <c r="C410" s="379"/>
      <c r="D410" s="367"/>
      <c r="E410" s="312"/>
      <c r="F410" s="312"/>
      <c r="I410" s="313"/>
    </row>
    <row r="411" spans="3:9">
      <c r="C411" s="379"/>
      <c r="D411" s="367"/>
      <c r="E411" s="312"/>
      <c r="F411" s="312"/>
      <c r="I411" s="313"/>
    </row>
    <row r="412" spans="3:9">
      <c r="C412" s="379"/>
      <c r="D412" s="367"/>
      <c r="E412" s="312"/>
      <c r="F412" s="312"/>
      <c r="I412" s="313"/>
    </row>
    <row r="413" spans="3:9">
      <c r="C413" s="379"/>
      <c r="D413" s="367"/>
      <c r="E413" s="312"/>
      <c r="F413" s="312"/>
      <c r="I413" s="313"/>
    </row>
    <row r="414" spans="3:9">
      <c r="C414" s="379"/>
      <c r="D414" s="367"/>
      <c r="E414" s="312"/>
      <c r="F414" s="312"/>
      <c r="I414" s="313"/>
    </row>
    <row r="415" spans="3:9">
      <c r="C415" s="379"/>
      <c r="D415" s="367"/>
      <c r="E415" s="312"/>
      <c r="F415" s="312"/>
      <c r="I415" s="313"/>
    </row>
    <row r="416" spans="3:9">
      <c r="C416" s="379"/>
      <c r="D416" s="367"/>
      <c r="E416" s="312"/>
      <c r="F416" s="312"/>
      <c r="I416" s="313"/>
    </row>
    <row r="417" spans="3:9">
      <c r="C417" s="379"/>
      <c r="D417" s="367"/>
      <c r="E417" s="312"/>
      <c r="F417" s="312"/>
      <c r="I417" s="313"/>
    </row>
    <row r="418" spans="3:9">
      <c r="C418" s="379"/>
      <c r="D418" s="367"/>
      <c r="E418" s="312"/>
      <c r="F418" s="312"/>
      <c r="I418" s="313"/>
    </row>
    <row r="419" spans="3:9">
      <c r="C419" s="379"/>
      <c r="D419" s="367"/>
      <c r="E419" s="312"/>
      <c r="F419" s="312"/>
      <c r="I419" s="313"/>
    </row>
    <row r="420" spans="3:9">
      <c r="C420" s="379"/>
      <c r="D420" s="367"/>
      <c r="E420" s="312"/>
      <c r="F420" s="312"/>
      <c r="I420" s="313"/>
    </row>
    <row r="421" spans="3:9">
      <c r="C421" s="379"/>
      <c r="D421" s="367"/>
      <c r="E421" s="312"/>
      <c r="F421" s="312"/>
      <c r="I421" s="313"/>
    </row>
    <row r="422" spans="3:9">
      <c r="C422" s="379"/>
      <c r="D422" s="367"/>
      <c r="E422" s="312"/>
      <c r="F422" s="312"/>
      <c r="I422" s="313"/>
    </row>
    <row r="423" spans="3:9">
      <c r="C423" s="379"/>
      <c r="D423" s="367"/>
      <c r="E423" s="312"/>
      <c r="F423" s="312"/>
      <c r="I423" s="313"/>
    </row>
    <row r="424" spans="3:9">
      <c r="C424" s="379"/>
      <c r="D424" s="367"/>
      <c r="E424" s="312"/>
      <c r="F424" s="312"/>
      <c r="I424" s="313"/>
    </row>
    <row r="425" spans="3:9">
      <c r="C425" s="379"/>
      <c r="D425" s="367"/>
      <c r="E425" s="312"/>
      <c r="F425" s="312"/>
      <c r="I425" s="313"/>
    </row>
    <row r="426" spans="3:9">
      <c r="C426" s="379"/>
      <c r="D426" s="367"/>
      <c r="E426" s="312"/>
      <c r="F426" s="312"/>
      <c r="I426" s="313"/>
    </row>
    <row r="427" spans="3:9">
      <c r="C427" s="379"/>
      <c r="D427" s="367"/>
      <c r="E427" s="312"/>
      <c r="F427" s="312"/>
      <c r="I427" s="313"/>
    </row>
    <row r="428" spans="3:9">
      <c r="C428" s="379"/>
      <c r="D428" s="367"/>
      <c r="E428" s="312"/>
      <c r="F428" s="312"/>
      <c r="I428" s="313"/>
    </row>
    <row r="429" spans="3:9">
      <c r="C429" s="379"/>
      <c r="D429" s="367"/>
      <c r="E429" s="312"/>
      <c r="F429" s="312"/>
      <c r="I429" s="313"/>
    </row>
    <row r="430" spans="3:9">
      <c r="C430" s="379"/>
      <c r="D430" s="367"/>
      <c r="E430" s="312"/>
      <c r="F430" s="312"/>
      <c r="I430" s="313"/>
    </row>
    <row r="431" spans="3:9">
      <c r="C431" s="379"/>
      <c r="D431" s="367"/>
      <c r="E431" s="312"/>
      <c r="F431" s="312"/>
      <c r="I431" s="313"/>
    </row>
    <row r="432" spans="3:9">
      <c r="C432" s="379"/>
      <c r="D432" s="367"/>
      <c r="E432" s="312"/>
      <c r="F432" s="312"/>
      <c r="I432" s="313"/>
    </row>
    <row r="433" spans="3:9">
      <c r="C433" s="379"/>
      <c r="D433" s="367"/>
      <c r="E433" s="312"/>
      <c r="F433" s="312"/>
      <c r="I433" s="313"/>
    </row>
    <row r="434" spans="3:9">
      <c r="C434" s="379"/>
      <c r="D434" s="367"/>
      <c r="E434" s="312"/>
      <c r="F434" s="312"/>
      <c r="I434" s="313"/>
    </row>
    <row r="435" spans="3:9">
      <c r="C435" s="379"/>
      <c r="D435" s="367"/>
      <c r="E435" s="312"/>
      <c r="F435" s="312"/>
      <c r="I435" s="313"/>
    </row>
    <row r="436" spans="3:9">
      <c r="C436" s="379"/>
      <c r="D436" s="367"/>
      <c r="E436" s="312"/>
      <c r="F436" s="312"/>
      <c r="I436" s="313"/>
    </row>
    <row r="437" spans="3:9">
      <c r="C437" s="379"/>
      <c r="D437" s="367"/>
      <c r="E437" s="312"/>
      <c r="F437" s="312"/>
      <c r="I437" s="313"/>
    </row>
    <row r="438" spans="3:9">
      <c r="C438" s="379"/>
      <c r="D438" s="367"/>
      <c r="E438" s="312"/>
      <c r="F438" s="312"/>
      <c r="I438" s="313"/>
    </row>
    <row r="439" spans="3:9">
      <c r="C439" s="379"/>
      <c r="D439" s="367"/>
      <c r="E439" s="312"/>
      <c r="F439" s="312"/>
      <c r="I439" s="313"/>
    </row>
    <row r="440" spans="3:9">
      <c r="C440" s="379"/>
      <c r="D440" s="367"/>
      <c r="E440" s="312"/>
      <c r="F440" s="312"/>
      <c r="I440" s="313"/>
    </row>
    <row r="441" spans="3:9">
      <c r="C441" s="379"/>
      <c r="D441" s="367"/>
      <c r="E441" s="312"/>
      <c r="F441" s="312"/>
      <c r="I441" s="313"/>
    </row>
    <row r="442" spans="3:9">
      <c r="C442" s="379"/>
      <c r="D442" s="367"/>
      <c r="E442" s="312"/>
      <c r="F442" s="312"/>
      <c r="I442" s="313"/>
    </row>
    <row r="443" spans="3:9">
      <c r="C443" s="379"/>
      <c r="D443" s="367"/>
      <c r="E443" s="312"/>
      <c r="F443" s="312"/>
      <c r="I443" s="313"/>
    </row>
    <row r="444" spans="3:9">
      <c r="C444" s="379"/>
      <c r="D444" s="367"/>
      <c r="E444" s="312"/>
      <c r="F444" s="312"/>
      <c r="I444" s="313"/>
    </row>
    <row r="445" spans="3:9">
      <c r="C445" s="379"/>
      <c r="D445" s="367"/>
      <c r="E445" s="312"/>
      <c r="F445" s="312"/>
      <c r="I445" s="313"/>
    </row>
    <row r="446" spans="3:9">
      <c r="C446" s="379"/>
      <c r="D446" s="367"/>
      <c r="E446" s="312"/>
      <c r="F446" s="312"/>
      <c r="I446" s="313"/>
    </row>
    <row r="447" spans="3:9">
      <c r="C447" s="379"/>
      <c r="D447" s="367"/>
      <c r="E447" s="312"/>
      <c r="F447" s="312"/>
      <c r="I447" s="313"/>
    </row>
    <row r="448" spans="3:9">
      <c r="C448" s="379"/>
      <c r="D448" s="367"/>
      <c r="E448" s="312"/>
      <c r="F448" s="312"/>
      <c r="I448" s="313"/>
    </row>
    <row r="449" spans="3:9">
      <c r="C449" s="379"/>
      <c r="D449" s="367"/>
      <c r="E449" s="312"/>
      <c r="F449" s="312"/>
      <c r="I449" s="313"/>
    </row>
    <row r="450" spans="3:9">
      <c r="C450" s="379"/>
      <c r="D450" s="367"/>
      <c r="E450" s="312"/>
      <c r="F450" s="312"/>
      <c r="I450" s="313"/>
    </row>
    <row r="451" spans="3:9">
      <c r="C451" s="379"/>
      <c r="D451" s="367"/>
      <c r="E451" s="312"/>
      <c r="F451" s="312"/>
      <c r="I451" s="313"/>
    </row>
    <row r="452" spans="3:9">
      <c r="I452" s="313"/>
    </row>
    <row r="453" spans="3:9">
      <c r="I453" s="313"/>
    </row>
    <row r="454" spans="3:9">
      <c r="I454" s="313"/>
    </row>
    <row r="455" spans="3:9">
      <c r="I455" s="313"/>
    </row>
    <row r="456" spans="3:9">
      <c r="I456" s="313"/>
    </row>
    <row r="457" spans="3:9">
      <c r="I457" s="313"/>
    </row>
    <row r="458" spans="3:9">
      <c r="I458" s="313"/>
    </row>
    <row r="459" spans="3:9">
      <c r="I459" s="313"/>
    </row>
    <row r="460" spans="3:9">
      <c r="I460" s="313"/>
    </row>
    <row r="461" spans="3:9">
      <c r="I461" s="313"/>
    </row>
    <row r="462" spans="3:9">
      <c r="I462" s="313"/>
    </row>
    <row r="463" spans="3:9">
      <c r="I463" s="313"/>
    </row>
    <row r="464" spans="3:9">
      <c r="I464" s="313"/>
    </row>
    <row r="465" spans="9:9">
      <c r="I465" s="313"/>
    </row>
    <row r="466" spans="9:9">
      <c r="I466" s="313"/>
    </row>
    <row r="467" spans="9:9">
      <c r="I467" s="313"/>
    </row>
    <row r="468" spans="9:9">
      <c r="I468" s="313"/>
    </row>
    <row r="469" spans="9:9">
      <c r="I469" s="313"/>
    </row>
    <row r="470" spans="9:9">
      <c r="I470" s="313"/>
    </row>
    <row r="471" spans="9:9">
      <c r="I471" s="313"/>
    </row>
    <row r="472" spans="9:9">
      <c r="I472" s="313"/>
    </row>
    <row r="473" spans="9:9">
      <c r="I473" s="313"/>
    </row>
    <row r="474" spans="9:9">
      <c r="I474" s="313"/>
    </row>
    <row r="475" spans="9:9">
      <c r="I475" s="313"/>
    </row>
    <row r="476" spans="9:9">
      <c r="I476" s="313"/>
    </row>
    <row r="477" spans="9:9">
      <c r="I477" s="313"/>
    </row>
    <row r="478" spans="9:9">
      <c r="I478" s="313"/>
    </row>
    <row r="479" spans="9:9">
      <c r="I479" s="313"/>
    </row>
    <row r="480" spans="9:9">
      <c r="I480" s="313"/>
    </row>
    <row r="481" spans="9:9">
      <c r="I481" s="313"/>
    </row>
    <row r="482" spans="9:9">
      <c r="I482" s="313"/>
    </row>
    <row r="483" spans="9:9">
      <c r="I483" s="313"/>
    </row>
    <row r="484" spans="9:9">
      <c r="I484" s="313"/>
    </row>
    <row r="485" spans="9:9">
      <c r="I485" s="313"/>
    </row>
    <row r="486" spans="9:9">
      <c r="I486" s="313"/>
    </row>
    <row r="487" spans="9:9">
      <c r="I487" s="313"/>
    </row>
    <row r="488" spans="9:9">
      <c r="I488" s="313"/>
    </row>
    <row r="489" spans="9:9">
      <c r="I489" s="313"/>
    </row>
    <row r="490" spans="9:9">
      <c r="I490" s="313"/>
    </row>
    <row r="491" spans="9:9">
      <c r="I491" s="313"/>
    </row>
    <row r="492" spans="9:9">
      <c r="I492" s="313"/>
    </row>
    <row r="493" spans="9:9">
      <c r="I493" s="313"/>
    </row>
    <row r="494" spans="9:9">
      <c r="I494" s="313"/>
    </row>
    <row r="495" spans="9:9">
      <c r="I495" s="313"/>
    </row>
    <row r="496" spans="9:9">
      <c r="I496" s="313"/>
    </row>
    <row r="497" spans="9:9">
      <c r="I497" s="313"/>
    </row>
    <row r="498" spans="9:9">
      <c r="I498" s="313"/>
    </row>
    <row r="499" spans="9:9">
      <c r="I499" s="313"/>
    </row>
    <row r="500" spans="9:9">
      <c r="I500" s="313"/>
    </row>
    <row r="501" spans="9:9">
      <c r="I501" s="313"/>
    </row>
    <row r="502" spans="9:9">
      <c r="I502" s="313"/>
    </row>
    <row r="503" spans="9:9">
      <c r="I503" s="313"/>
    </row>
    <row r="504" spans="9:9">
      <c r="I504" s="313"/>
    </row>
    <row r="505" spans="9:9">
      <c r="I505" s="313"/>
    </row>
    <row r="506" spans="9:9">
      <c r="I506" s="313"/>
    </row>
    <row r="507" spans="9:9">
      <c r="I507" s="313"/>
    </row>
    <row r="508" spans="9:9">
      <c r="I508" s="313"/>
    </row>
    <row r="509" spans="9:9">
      <c r="I509" s="313"/>
    </row>
    <row r="510" spans="9:9">
      <c r="I510" s="313"/>
    </row>
    <row r="511" spans="9:9">
      <c r="I511" s="313"/>
    </row>
    <row r="512" spans="9:9">
      <c r="I512" s="313"/>
    </row>
    <row r="513" spans="9:9">
      <c r="I513" s="313"/>
    </row>
    <row r="514" spans="9:9">
      <c r="I514" s="313"/>
    </row>
    <row r="515" spans="9:9">
      <c r="I515" s="313"/>
    </row>
    <row r="516" spans="9:9">
      <c r="I516" s="313"/>
    </row>
    <row r="517" spans="9:9">
      <c r="I517" s="313"/>
    </row>
    <row r="518" spans="9:9">
      <c r="I518" s="313"/>
    </row>
    <row r="519" spans="9:9">
      <c r="I519" s="313"/>
    </row>
    <row r="520" spans="9:9">
      <c r="I520" s="313"/>
    </row>
    <row r="521" spans="9:9">
      <c r="I521" s="313"/>
    </row>
    <row r="522" spans="9:9">
      <c r="I522" s="313"/>
    </row>
    <row r="523" spans="9:9">
      <c r="I523" s="313"/>
    </row>
    <row r="524" spans="9:9">
      <c r="I524" s="313"/>
    </row>
    <row r="525" spans="9:9">
      <c r="I525" s="313"/>
    </row>
    <row r="526" spans="9:9">
      <c r="I526" s="313"/>
    </row>
    <row r="527" spans="9:9">
      <c r="I527" s="313"/>
    </row>
    <row r="528" spans="9:9">
      <c r="I528" s="313"/>
    </row>
    <row r="529" spans="9:9">
      <c r="I529" s="313"/>
    </row>
    <row r="530" spans="9:9">
      <c r="I530" s="313"/>
    </row>
    <row r="531" spans="9:9">
      <c r="I531" s="313"/>
    </row>
    <row r="532" spans="9:9">
      <c r="I532" s="313"/>
    </row>
    <row r="533" spans="9:9">
      <c r="I533" s="313"/>
    </row>
    <row r="534" spans="9:9">
      <c r="I534" s="313"/>
    </row>
    <row r="535" spans="9:9">
      <c r="I535" s="313"/>
    </row>
    <row r="536" spans="9:9">
      <c r="I536" s="313"/>
    </row>
    <row r="537" spans="9:9">
      <c r="I537" s="313"/>
    </row>
    <row r="538" spans="9:9">
      <c r="I538" s="313"/>
    </row>
    <row r="539" spans="9:9">
      <c r="I539" s="313"/>
    </row>
    <row r="540" spans="9:9">
      <c r="I540" s="313"/>
    </row>
    <row r="541" spans="9:9">
      <c r="I541" s="313"/>
    </row>
    <row r="542" spans="9:9">
      <c r="I542" s="313"/>
    </row>
    <row r="543" spans="9:9">
      <c r="I543" s="313"/>
    </row>
    <row r="544" spans="9:9">
      <c r="I544" s="313"/>
    </row>
    <row r="545" spans="9:9">
      <c r="I545" s="313"/>
    </row>
    <row r="546" spans="9:9">
      <c r="I546" s="313"/>
    </row>
    <row r="547" spans="9:9">
      <c r="I547" s="313"/>
    </row>
    <row r="548" spans="9:9">
      <c r="I548" s="313"/>
    </row>
    <row r="549" spans="9:9">
      <c r="I549" s="313"/>
    </row>
    <row r="550" spans="9:9">
      <c r="I550" s="313"/>
    </row>
    <row r="551" spans="9:9">
      <c r="I551" s="313"/>
    </row>
    <row r="552" spans="9:9">
      <c r="I552" s="313"/>
    </row>
    <row r="553" spans="9:9">
      <c r="I553" s="313"/>
    </row>
    <row r="554" spans="9:9">
      <c r="I554" s="313"/>
    </row>
    <row r="555" spans="9:9">
      <c r="I555" s="313"/>
    </row>
    <row r="556" spans="9:9">
      <c r="I556" s="313"/>
    </row>
    <row r="557" spans="9:9">
      <c r="I557" s="313"/>
    </row>
    <row r="558" spans="9:9">
      <c r="I558" s="313"/>
    </row>
    <row r="559" spans="9:9">
      <c r="I559" s="313"/>
    </row>
    <row r="560" spans="9:9">
      <c r="I560" s="313"/>
    </row>
    <row r="561" spans="9:9">
      <c r="I561" s="313"/>
    </row>
    <row r="562" spans="9:9">
      <c r="I562" s="313"/>
    </row>
    <row r="563" spans="9:9">
      <c r="I563" s="313"/>
    </row>
    <row r="564" spans="9:9">
      <c r="I564" s="313"/>
    </row>
    <row r="565" spans="9:9">
      <c r="I565" s="313"/>
    </row>
    <row r="566" spans="9:9">
      <c r="I566" s="313"/>
    </row>
    <row r="567" spans="9:9">
      <c r="I567" s="313"/>
    </row>
    <row r="568" spans="9:9">
      <c r="I568" s="313"/>
    </row>
    <row r="569" spans="9:9">
      <c r="I569" s="313"/>
    </row>
    <row r="570" spans="9:9">
      <c r="I570" s="313"/>
    </row>
    <row r="571" spans="9:9">
      <c r="I571" s="313"/>
    </row>
    <row r="572" spans="9:9">
      <c r="I572" s="313"/>
    </row>
    <row r="573" spans="9:9">
      <c r="I573" s="313"/>
    </row>
    <row r="574" spans="9:9">
      <c r="I574" s="313"/>
    </row>
    <row r="575" spans="9:9">
      <c r="I575" s="313"/>
    </row>
    <row r="576" spans="9:9">
      <c r="I576" s="313"/>
    </row>
    <row r="577" spans="9:9">
      <c r="I577" s="313"/>
    </row>
    <row r="578" spans="9:9">
      <c r="I578" s="313"/>
    </row>
    <row r="579" spans="9:9">
      <c r="I579" s="313"/>
    </row>
    <row r="580" spans="9:9">
      <c r="I580" s="313"/>
    </row>
    <row r="581" spans="9:9">
      <c r="I581" s="313"/>
    </row>
    <row r="582" spans="9:9">
      <c r="I582" s="313"/>
    </row>
    <row r="583" spans="9:9">
      <c r="I583" s="313"/>
    </row>
    <row r="584" spans="9:9">
      <c r="I584" s="313"/>
    </row>
    <row r="585" spans="9:9">
      <c r="I585" s="313"/>
    </row>
    <row r="586" spans="9:9">
      <c r="I586" s="313"/>
    </row>
    <row r="587" spans="9:9">
      <c r="I587" s="313"/>
    </row>
    <row r="588" spans="9:9">
      <c r="I588" s="313"/>
    </row>
    <row r="589" spans="9:9">
      <c r="I589" s="313"/>
    </row>
    <row r="590" spans="9:9">
      <c r="I590" s="313"/>
    </row>
    <row r="591" spans="9:9">
      <c r="I591" s="313"/>
    </row>
    <row r="592" spans="9:9">
      <c r="I592" s="313"/>
    </row>
    <row r="593" spans="9:9">
      <c r="I593" s="313"/>
    </row>
    <row r="594" spans="9:9">
      <c r="I594" s="313"/>
    </row>
    <row r="595" spans="9:9">
      <c r="I595" s="313"/>
    </row>
    <row r="596" spans="9:9">
      <c r="I596" s="313"/>
    </row>
    <row r="597" spans="9:9">
      <c r="I597" s="313"/>
    </row>
    <row r="598" spans="9:9">
      <c r="I598" s="313"/>
    </row>
    <row r="599" spans="9:9">
      <c r="I599" s="313"/>
    </row>
    <row r="600" spans="9:9">
      <c r="I600" s="313"/>
    </row>
    <row r="601" spans="9:9">
      <c r="I601" s="313"/>
    </row>
    <row r="602" spans="9:9">
      <c r="I602" s="313"/>
    </row>
    <row r="603" spans="9:9">
      <c r="I603" s="313"/>
    </row>
    <row r="604" spans="9:9">
      <c r="I604" s="313"/>
    </row>
    <row r="605" spans="9:9">
      <c r="I605" s="313"/>
    </row>
    <row r="606" spans="9:9">
      <c r="I606" s="313"/>
    </row>
    <row r="607" spans="9:9">
      <c r="I607" s="313"/>
    </row>
    <row r="608" spans="9:9">
      <c r="I608" s="313"/>
    </row>
    <row r="609" spans="9:9">
      <c r="I609" s="313"/>
    </row>
    <row r="610" spans="9:9">
      <c r="I610" s="313"/>
    </row>
    <row r="611" spans="9:9">
      <c r="I611" s="313"/>
    </row>
    <row r="612" spans="9:9">
      <c r="I612" s="313"/>
    </row>
    <row r="613" spans="9:9">
      <c r="I613" s="313"/>
    </row>
    <row r="614" spans="9:9">
      <c r="I614" s="313"/>
    </row>
    <row r="615" spans="9:9">
      <c r="I615" s="313"/>
    </row>
    <row r="616" spans="9:9">
      <c r="I616" s="313"/>
    </row>
    <row r="617" spans="9:9">
      <c r="I617" s="313"/>
    </row>
    <row r="618" spans="9:9">
      <c r="I618" s="313"/>
    </row>
    <row r="619" spans="9:9">
      <c r="I619" s="313"/>
    </row>
    <row r="620" spans="9:9">
      <c r="I620" s="313"/>
    </row>
    <row r="621" spans="9:9">
      <c r="I621" s="313"/>
    </row>
    <row r="622" spans="9:9">
      <c r="I622" s="313"/>
    </row>
    <row r="623" spans="9:9">
      <c r="I623" s="313"/>
    </row>
    <row r="624" spans="9:9">
      <c r="I624" s="313"/>
    </row>
    <row r="625" spans="9:9">
      <c r="I625" s="313"/>
    </row>
    <row r="626" spans="9:9">
      <c r="I626" s="313"/>
    </row>
    <row r="627" spans="9:9">
      <c r="I627" s="313"/>
    </row>
    <row r="628" spans="9:9">
      <c r="I628" s="313"/>
    </row>
    <row r="629" spans="9:9">
      <c r="I629" s="313"/>
    </row>
    <row r="630" spans="9:9">
      <c r="I630" s="313"/>
    </row>
    <row r="631" spans="9:9">
      <c r="I631" s="313"/>
    </row>
    <row r="632" spans="9:9">
      <c r="I632" s="313"/>
    </row>
    <row r="633" spans="9:9">
      <c r="I633" s="313"/>
    </row>
    <row r="634" spans="9:9">
      <c r="I634" s="313"/>
    </row>
    <row r="635" spans="9:9">
      <c r="I635" s="313"/>
    </row>
    <row r="636" spans="9:9">
      <c r="I636" s="313"/>
    </row>
    <row r="637" spans="9:9">
      <c r="I637" s="313"/>
    </row>
    <row r="638" spans="9:9">
      <c r="I638" s="313"/>
    </row>
    <row r="639" spans="9:9">
      <c r="I639" s="313"/>
    </row>
    <row r="640" spans="9:9">
      <c r="I640" s="313"/>
    </row>
    <row r="641" spans="9:9">
      <c r="I641" s="313"/>
    </row>
    <row r="642" spans="9:9">
      <c r="I642" s="313"/>
    </row>
    <row r="643" spans="9:9">
      <c r="I643" s="313"/>
    </row>
    <row r="644" spans="9:9">
      <c r="I644" s="313"/>
    </row>
    <row r="645" spans="9:9">
      <c r="I645" s="313"/>
    </row>
    <row r="646" spans="9:9">
      <c r="I646" s="313"/>
    </row>
    <row r="647" spans="9:9">
      <c r="I647" s="313"/>
    </row>
    <row r="648" spans="9:9">
      <c r="I648" s="313"/>
    </row>
    <row r="649" spans="9:9">
      <c r="I649" s="313"/>
    </row>
    <row r="650" spans="9:9">
      <c r="I650" s="313"/>
    </row>
    <row r="651" spans="9:9">
      <c r="I651" s="313"/>
    </row>
    <row r="652" spans="9:9">
      <c r="I652" s="313"/>
    </row>
    <row r="653" spans="9:9">
      <c r="I653" s="313"/>
    </row>
    <row r="654" spans="9:9">
      <c r="I654" s="313"/>
    </row>
    <row r="655" spans="9:9">
      <c r="I655" s="313"/>
    </row>
    <row r="656" spans="9:9">
      <c r="I656" s="313"/>
    </row>
    <row r="657" spans="9:9">
      <c r="I657" s="313"/>
    </row>
    <row r="658" spans="9:9">
      <c r="I658" s="313"/>
    </row>
    <row r="659" spans="9:9">
      <c r="I659" s="313"/>
    </row>
    <row r="660" spans="9:9">
      <c r="I660" s="313"/>
    </row>
    <row r="661" spans="9:9">
      <c r="I661" s="313"/>
    </row>
    <row r="662" spans="9:9">
      <c r="I662" s="313"/>
    </row>
    <row r="663" spans="9:9">
      <c r="I663" s="313"/>
    </row>
    <row r="664" spans="9:9">
      <c r="I664" s="313"/>
    </row>
    <row r="665" spans="9:9">
      <c r="I665" s="313"/>
    </row>
    <row r="666" spans="9:9">
      <c r="I666" s="313"/>
    </row>
    <row r="667" spans="9:9">
      <c r="I667" s="313"/>
    </row>
    <row r="668" spans="9:9">
      <c r="I668" s="313"/>
    </row>
    <row r="669" spans="9:9">
      <c r="I669" s="313"/>
    </row>
    <row r="670" spans="9:9">
      <c r="I670" s="313"/>
    </row>
    <row r="671" spans="9:9">
      <c r="I671" s="313"/>
    </row>
    <row r="672" spans="9:9">
      <c r="I672" s="313"/>
    </row>
    <row r="673" spans="9:9">
      <c r="I673" s="313"/>
    </row>
    <row r="674" spans="9:9">
      <c r="I674" s="313"/>
    </row>
    <row r="675" spans="9:9">
      <c r="I675" s="313"/>
    </row>
    <row r="676" spans="9:9">
      <c r="I676" s="313"/>
    </row>
    <row r="677" spans="9:9">
      <c r="I677" s="313"/>
    </row>
    <row r="678" spans="9:9">
      <c r="I678" s="313"/>
    </row>
    <row r="679" spans="9:9">
      <c r="I679" s="313"/>
    </row>
    <row r="680" spans="9:9">
      <c r="I680" s="313"/>
    </row>
    <row r="681" spans="9:9">
      <c r="I681" s="313"/>
    </row>
    <row r="682" spans="9:9">
      <c r="I682" s="313"/>
    </row>
    <row r="683" spans="9:9">
      <c r="I683" s="313"/>
    </row>
    <row r="684" spans="9:9">
      <c r="I684" s="313"/>
    </row>
    <row r="685" spans="9:9">
      <c r="I685" s="313"/>
    </row>
    <row r="686" spans="9:9">
      <c r="I686" s="313"/>
    </row>
    <row r="687" spans="9:9">
      <c r="I687" s="313"/>
    </row>
    <row r="688" spans="9:9">
      <c r="I688" s="313"/>
    </row>
    <row r="689" spans="9:9">
      <c r="I689" s="313"/>
    </row>
    <row r="690" spans="9:9">
      <c r="I690" s="313"/>
    </row>
    <row r="691" spans="9:9">
      <c r="I691" s="313"/>
    </row>
    <row r="692" spans="9:9">
      <c r="I692" s="313"/>
    </row>
    <row r="693" spans="9:9">
      <c r="I693" s="313"/>
    </row>
    <row r="694" spans="9:9">
      <c r="I694" s="313"/>
    </row>
    <row r="695" spans="9:9">
      <c r="I695" s="313"/>
    </row>
    <row r="696" spans="9:9">
      <c r="I696" s="313"/>
    </row>
    <row r="697" spans="9:9">
      <c r="I697" s="313"/>
    </row>
    <row r="698" spans="9:9">
      <c r="I698" s="313"/>
    </row>
    <row r="699" spans="9:9">
      <c r="I699" s="313"/>
    </row>
    <row r="700" spans="9:9">
      <c r="I700" s="313"/>
    </row>
    <row r="701" spans="9:9">
      <c r="I701" s="313"/>
    </row>
    <row r="702" spans="9:9">
      <c r="I702" s="313"/>
    </row>
    <row r="703" spans="9:9">
      <c r="I703" s="313"/>
    </row>
    <row r="704" spans="9:9">
      <c r="I704" s="313"/>
    </row>
    <row r="705" spans="9:9">
      <c r="I705" s="313"/>
    </row>
    <row r="706" spans="9:9">
      <c r="I706" s="313"/>
    </row>
    <row r="707" spans="9:9">
      <c r="I707" s="313"/>
    </row>
    <row r="708" spans="9:9">
      <c r="I708" s="313"/>
    </row>
    <row r="709" spans="9:9">
      <c r="I709" s="313"/>
    </row>
    <row r="710" spans="9:9">
      <c r="I710" s="313"/>
    </row>
    <row r="711" spans="9:9">
      <c r="I711" s="313"/>
    </row>
    <row r="712" spans="9:9">
      <c r="I712" s="313"/>
    </row>
    <row r="713" spans="9:9">
      <c r="I713" s="313"/>
    </row>
    <row r="714" spans="9:9">
      <c r="I714" s="313"/>
    </row>
    <row r="715" spans="9:9">
      <c r="I715" s="313"/>
    </row>
    <row r="716" spans="9:9">
      <c r="I716" s="313"/>
    </row>
    <row r="717" spans="9:9">
      <c r="I717" s="313"/>
    </row>
    <row r="718" spans="9:9">
      <c r="I718" s="313"/>
    </row>
    <row r="719" spans="9:9">
      <c r="I719" s="313"/>
    </row>
    <row r="720" spans="9:9">
      <c r="I720" s="313"/>
    </row>
    <row r="721" spans="9:9">
      <c r="I721" s="313"/>
    </row>
    <row r="722" spans="9:9">
      <c r="I722" s="313"/>
    </row>
    <row r="723" spans="9:9">
      <c r="I723" s="313"/>
    </row>
    <row r="724" spans="9:9">
      <c r="I724" s="313"/>
    </row>
    <row r="725" spans="9:9">
      <c r="I725" s="313"/>
    </row>
    <row r="726" spans="9:9">
      <c r="I726" s="313"/>
    </row>
    <row r="727" spans="9:9">
      <c r="I727" s="313"/>
    </row>
    <row r="728" spans="9:9">
      <c r="I728" s="313"/>
    </row>
    <row r="729" spans="9:9">
      <c r="I729" s="313"/>
    </row>
    <row r="730" spans="9:9">
      <c r="I730" s="313"/>
    </row>
    <row r="731" spans="9:9">
      <c r="I731" s="313"/>
    </row>
    <row r="732" spans="9:9">
      <c r="I732" s="313"/>
    </row>
    <row r="733" spans="9:9">
      <c r="I733" s="313"/>
    </row>
    <row r="734" spans="9:9">
      <c r="I734" s="313"/>
    </row>
    <row r="735" spans="9:9">
      <c r="I735" s="313"/>
    </row>
    <row r="736" spans="9:9">
      <c r="I736" s="313"/>
    </row>
    <row r="737" spans="9:9">
      <c r="I737" s="313"/>
    </row>
    <row r="738" spans="9:9">
      <c r="I738" s="313"/>
    </row>
    <row r="739" spans="9:9">
      <c r="I739" s="313"/>
    </row>
    <row r="740" spans="9:9">
      <c r="I740" s="313"/>
    </row>
    <row r="741" spans="9:9">
      <c r="I741" s="313"/>
    </row>
    <row r="742" spans="9:9">
      <c r="I742" s="313"/>
    </row>
    <row r="743" spans="9:9">
      <c r="I743" s="313"/>
    </row>
    <row r="744" spans="9:9">
      <c r="I744" s="313"/>
    </row>
    <row r="745" spans="9:9">
      <c r="I745" s="313"/>
    </row>
    <row r="746" spans="9:9">
      <c r="I746" s="313"/>
    </row>
    <row r="747" spans="9:9">
      <c r="I747" s="313"/>
    </row>
    <row r="748" spans="9:9">
      <c r="I748" s="313"/>
    </row>
    <row r="749" spans="9:9">
      <c r="I749" s="313"/>
    </row>
    <row r="750" spans="9:9">
      <c r="I750" s="313"/>
    </row>
    <row r="751" spans="9:9">
      <c r="I751" s="313"/>
    </row>
    <row r="752" spans="9:9">
      <c r="I752" s="313"/>
    </row>
    <row r="753" spans="9:9">
      <c r="I753" s="313"/>
    </row>
    <row r="754" spans="9:9">
      <c r="I754" s="313"/>
    </row>
    <row r="755" spans="9:9">
      <c r="I755" s="313"/>
    </row>
    <row r="756" spans="9:9">
      <c r="I756" s="313"/>
    </row>
    <row r="757" spans="9:9">
      <c r="I757" s="313"/>
    </row>
    <row r="758" spans="9:9">
      <c r="I758" s="313"/>
    </row>
    <row r="759" spans="9:9">
      <c r="I759" s="313"/>
    </row>
    <row r="760" spans="9:9">
      <c r="I760" s="313"/>
    </row>
    <row r="761" spans="9:9">
      <c r="I761" s="313"/>
    </row>
    <row r="762" spans="9:9">
      <c r="I762" s="313"/>
    </row>
    <row r="763" spans="9:9">
      <c r="I763" s="313"/>
    </row>
    <row r="764" spans="9:9">
      <c r="I764" s="313"/>
    </row>
    <row r="765" spans="9:9">
      <c r="I765" s="313"/>
    </row>
    <row r="766" spans="9:9">
      <c r="I766" s="313"/>
    </row>
    <row r="767" spans="9:9">
      <c r="I767" s="313"/>
    </row>
    <row r="768" spans="9:9">
      <c r="I768" s="313"/>
    </row>
    <row r="769" spans="9:9">
      <c r="I769" s="313"/>
    </row>
    <row r="770" spans="9:9">
      <c r="I770" s="313"/>
    </row>
    <row r="771" spans="9:9">
      <c r="I771" s="313"/>
    </row>
    <row r="772" spans="9:9">
      <c r="I772" s="313"/>
    </row>
    <row r="773" spans="9:9">
      <c r="I773" s="313"/>
    </row>
    <row r="774" spans="9:9">
      <c r="I774" s="313"/>
    </row>
    <row r="775" spans="9:9">
      <c r="I775" s="313"/>
    </row>
    <row r="776" spans="9:9">
      <c r="I776" s="313"/>
    </row>
    <row r="777" spans="9:9">
      <c r="I777" s="313"/>
    </row>
    <row r="778" spans="9:9">
      <c r="I778" s="313"/>
    </row>
    <row r="779" spans="9:9">
      <c r="I779" s="313"/>
    </row>
    <row r="780" spans="9:9">
      <c r="I780" s="313"/>
    </row>
    <row r="781" spans="9:9">
      <c r="I781" s="313"/>
    </row>
    <row r="782" spans="9:9">
      <c r="I782" s="313"/>
    </row>
    <row r="783" spans="9:9">
      <c r="I783" s="313"/>
    </row>
    <row r="784" spans="9:9">
      <c r="I784" s="313"/>
    </row>
    <row r="785" spans="9:9">
      <c r="I785" s="313"/>
    </row>
    <row r="786" spans="9:9">
      <c r="I786" s="313"/>
    </row>
    <row r="787" spans="9:9">
      <c r="I787" s="313"/>
    </row>
    <row r="788" spans="9:9">
      <c r="I788" s="313"/>
    </row>
    <row r="789" spans="9:9">
      <c r="I789" s="313"/>
    </row>
    <row r="790" spans="9:9">
      <c r="I790" s="313"/>
    </row>
    <row r="791" spans="9:9">
      <c r="I791" s="313"/>
    </row>
    <row r="792" spans="9:9">
      <c r="I792" s="313"/>
    </row>
    <row r="793" spans="9:9">
      <c r="I793" s="313"/>
    </row>
    <row r="794" spans="9:9">
      <c r="I794" s="313"/>
    </row>
    <row r="795" spans="9:9">
      <c r="I795" s="313"/>
    </row>
    <row r="796" spans="9:9">
      <c r="I796" s="313"/>
    </row>
    <row r="797" spans="9:9">
      <c r="I797" s="313"/>
    </row>
    <row r="798" spans="9:9">
      <c r="I798" s="313"/>
    </row>
    <row r="799" spans="9:9">
      <c r="I799" s="313"/>
    </row>
    <row r="800" spans="9:9">
      <c r="I800" s="313"/>
    </row>
    <row r="801" spans="9:9">
      <c r="I801" s="313"/>
    </row>
    <row r="802" spans="9:9">
      <c r="I802" s="313"/>
    </row>
    <row r="803" spans="9:9">
      <c r="I803" s="313"/>
    </row>
    <row r="804" spans="9:9">
      <c r="I804" s="313"/>
    </row>
    <row r="805" spans="9:9">
      <c r="I805" s="313"/>
    </row>
    <row r="806" spans="9:9">
      <c r="I806" s="313"/>
    </row>
    <row r="807" spans="9:9">
      <c r="I807" s="313"/>
    </row>
    <row r="808" spans="9:9">
      <c r="I808" s="313"/>
    </row>
    <row r="809" spans="9:9">
      <c r="I809" s="313"/>
    </row>
    <row r="810" spans="9:9">
      <c r="I810" s="313"/>
    </row>
    <row r="811" spans="9:9">
      <c r="I811" s="313"/>
    </row>
    <row r="812" spans="9:9">
      <c r="I812" s="313"/>
    </row>
    <row r="813" spans="9:9">
      <c r="I813" s="313"/>
    </row>
    <row r="814" spans="9:9">
      <c r="I814" s="313"/>
    </row>
    <row r="815" spans="9:9">
      <c r="I815" s="313"/>
    </row>
    <row r="816" spans="9:9">
      <c r="I816" s="313"/>
    </row>
    <row r="817" spans="9:22">
      <c r="I817" s="313"/>
    </row>
    <row r="818" spans="9:22">
      <c r="I818" s="313"/>
    </row>
    <row r="819" spans="9:22">
      <c r="I819" s="313"/>
    </row>
    <row r="820" spans="9:22">
      <c r="I820" s="313"/>
    </row>
    <row r="821" spans="9:22">
      <c r="I821" s="313"/>
    </row>
    <row r="822" spans="9:22">
      <c r="I822" s="380"/>
    </row>
    <row r="823" spans="9:22">
      <c r="I823" s="380"/>
    </row>
    <row r="824" spans="9:22">
      <c r="I824" s="380"/>
    </row>
    <row r="825" spans="9:22">
      <c r="I825" s="380"/>
    </row>
    <row r="826" spans="9:22" s="381" customFormat="1">
      <c r="I826" s="380"/>
      <c r="J826" s="305"/>
      <c r="K826" s="305"/>
      <c r="L826" s="391"/>
      <c r="M826" s="391"/>
      <c r="N826" s="391"/>
      <c r="O826" s="391"/>
      <c r="P826" s="391"/>
      <c r="Q826" s="305"/>
      <c r="R826" s="305"/>
      <c r="S826" s="391"/>
      <c r="T826" s="305"/>
      <c r="U826" s="305"/>
      <c r="V826" s="305"/>
    </row>
    <row r="827" spans="9:22" s="323" customFormat="1">
      <c r="I827" s="380"/>
      <c r="J827" s="305"/>
      <c r="K827" s="305"/>
      <c r="L827" s="391"/>
      <c r="M827" s="391"/>
      <c r="N827" s="391"/>
      <c r="O827" s="391"/>
      <c r="P827" s="391"/>
      <c r="Q827" s="305"/>
      <c r="R827" s="305"/>
      <c r="S827" s="391"/>
      <c r="T827" s="305"/>
      <c r="U827" s="305"/>
      <c r="V827" s="305"/>
    </row>
    <row r="828" spans="9:22" s="323" customFormat="1">
      <c r="I828" s="380"/>
      <c r="J828" s="305"/>
      <c r="K828" s="305"/>
      <c r="L828" s="391"/>
      <c r="M828" s="391"/>
      <c r="N828" s="391"/>
      <c r="O828" s="391"/>
      <c r="P828" s="391"/>
      <c r="Q828" s="305"/>
      <c r="R828" s="305"/>
      <c r="S828" s="391"/>
      <c r="T828" s="305"/>
      <c r="U828" s="305"/>
      <c r="V828" s="305"/>
    </row>
    <row r="829" spans="9:22" s="323" customFormat="1">
      <c r="I829" s="380"/>
      <c r="J829" s="305"/>
      <c r="K829" s="305"/>
      <c r="L829" s="391"/>
      <c r="M829" s="391"/>
      <c r="N829" s="391"/>
      <c r="O829" s="391"/>
      <c r="P829" s="391"/>
      <c r="Q829" s="305"/>
      <c r="R829" s="305"/>
      <c r="S829" s="391"/>
      <c r="T829" s="305"/>
      <c r="U829" s="305"/>
      <c r="V829" s="305"/>
    </row>
    <row r="830" spans="9:22" s="381" customFormat="1">
      <c r="I830" s="380"/>
      <c r="J830" s="305"/>
      <c r="K830" s="305"/>
      <c r="L830" s="391"/>
      <c r="M830" s="391"/>
      <c r="N830" s="391"/>
      <c r="O830" s="391"/>
      <c r="P830" s="391"/>
      <c r="Q830" s="305"/>
      <c r="R830" s="305"/>
      <c r="S830" s="391"/>
      <c r="T830" s="305"/>
      <c r="U830" s="305"/>
      <c r="V830" s="305"/>
    </row>
    <row r="831" spans="9:22">
      <c r="I831" s="380"/>
    </row>
    <row r="832" spans="9:22">
      <c r="I832" s="380"/>
    </row>
    <row r="833" spans="9:9">
      <c r="I833" s="380"/>
    </row>
    <row r="834" spans="9:9">
      <c r="I834" s="380"/>
    </row>
    <row r="835" spans="9:9">
      <c r="I835" s="313"/>
    </row>
    <row r="836" spans="9:9">
      <c r="I836" s="313"/>
    </row>
    <row r="837" spans="9:9">
      <c r="I837" s="313"/>
    </row>
    <row r="838" spans="9:9">
      <c r="I838" s="313"/>
    </row>
    <row r="839" spans="9:9">
      <c r="I839" s="313"/>
    </row>
    <row r="840" spans="9:9">
      <c r="I840" s="313"/>
    </row>
    <row r="841" spans="9:9">
      <c r="I841" s="313"/>
    </row>
    <row r="842" spans="9:9">
      <c r="I842" s="313"/>
    </row>
    <row r="843" spans="9:9">
      <c r="I843" s="313"/>
    </row>
    <row r="844" spans="9:9">
      <c r="I844" s="313"/>
    </row>
    <row r="845" spans="9:9">
      <c r="I845" s="313"/>
    </row>
    <row r="846" spans="9:9">
      <c r="I846" s="313"/>
    </row>
    <row r="847" spans="9:9">
      <c r="I847" s="313"/>
    </row>
    <row r="848" spans="9:9">
      <c r="I848" s="313"/>
    </row>
    <row r="849" spans="9:9">
      <c r="I849" s="313"/>
    </row>
    <row r="850" spans="9:9">
      <c r="I850" s="313"/>
    </row>
    <row r="851" spans="9:9">
      <c r="I851" s="313"/>
    </row>
    <row r="852" spans="9:9">
      <c r="I852" s="313"/>
    </row>
    <row r="853" spans="9:9">
      <c r="I853" s="313"/>
    </row>
    <row r="854" spans="9:9">
      <c r="I854" s="313"/>
    </row>
    <row r="855" spans="9:9">
      <c r="I855" s="313"/>
    </row>
    <row r="856" spans="9:9">
      <c r="I856" s="313"/>
    </row>
    <row r="857" spans="9:9">
      <c r="I857" s="313"/>
    </row>
    <row r="858" spans="9:9">
      <c r="I858" s="313"/>
    </row>
    <row r="859" spans="9:9">
      <c r="I859" s="313"/>
    </row>
    <row r="860" spans="9:9">
      <c r="I860" s="313"/>
    </row>
    <row r="861" spans="9:9">
      <c r="I861" s="313"/>
    </row>
    <row r="862" spans="9:9">
      <c r="I862" s="313"/>
    </row>
    <row r="863" spans="9:9">
      <c r="I863" s="313"/>
    </row>
    <row r="864" spans="9:9">
      <c r="I864" s="313"/>
    </row>
    <row r="865" spans="9:9">
      <c r="I865" s="313"/>
    </row>
    <row r="866" spans="9:9">
      <c r="I866" s="313"/>
    </row>
    <row r="867" spans="9:9">
      <c r="I867" s="313"/>
    </row>
    <row r="868" spans="9:9">
      <c r="I868" s="313"/>
    </row>
    <row r="869" spans="9:9">
      <c r="I869" s="313"/>
    </row>
    <row r="870" spans="9:9">
      <c r="I870" s="313"/>
    </row>
    <row r="871" spans="9:9">
      <c r="I871" s="313"/>
    </row>
    <row r="872" spans="9:9">
      <c r="I872" s="313"/>
    </row>
    <row r="873" spans="9:9">
      <c r="I873" s="313"/>
    </row>
    <row r="874" spans="9:9">
      <c r="I874" s="313"/>
    </row>
    <row r="875" spans="9:9">
      <c r="I875" s="313"/>
    </row>
    <row r="876" spans="9:9">
      <c r="I876" s="313"/>
    </row>
    <row r="877" spans="9:9">
      <c r="I877" s="313"/>
    </row>
    <row r="878" spans="9:9">
      <c r="I878" s="313"/>
    </row>
    <row r="879" spans="9:9">
      <c r="I879" s="313"/>
    </row>
    <row r="880" spans="9:9">
      <c r="I880" s="313"/>
    </row>
    <row r="881" spans="9:244">
      <c r="I881" s="313"/>
    </row>
    <row r="882" spans="9:244">
      <c r="I882" s="313"/>
    </row>
    <row r="883" spans="9:244">
      <c r="I883" s="313"/>
    </row>
    <row r="884" spans="9:244">
      <c r="I884" s="313"/>
    </row>
    <row r="885" spans="9:244">
      <c r="I885" s="313"/>
    </row>
    <row r="886" spans="9:244">
      <c r="I886" s="313"/>
    </row>
    <row r="887" spans="9:244">
      <c r="I887" s="383"/>
      <c r="W887" s="384"/>
      <c r="X887" s="384"/>
      <c r="Y887" s="384"/>
      <c r="Z887" s="384"/>
      <c r="AA887" s="384"/>
      <c r="AB887" s="384"/>
      <c r="AC887" s="384"/>
      <c r="AD887" s="384"/>
      <c r="AE887" s="384"/>
      <c r="AF887" s="384"/>
      <c r="AG887" s="384"/>
      <c r="AH887" s="384"/>
      <c r="AI887" s="384"/>
      <c r="AJ887" s="384"/>
      <c r="AK887" s="384"/>
      <c r="AL887" s="384"/>
      <c r="AM887" s="384"/>
      <c r="AN887" s="384"/>
      <c r="AO887" s="384"/>
      <c r="AP887" s="384"/>
      <c r="AQ887" s="384"/>
      <c r="AR887" s="384"/>
      <c r="AS887" s="384"/>
      <c r="AT887" s="384"/>
      <c r="AU887" s="384"/>
      <c r="AV887" s="384"/>
      <c r="AW887" s="384"/>
      <c r="AX887" s="384"/>
      <c r="AY887" s="384"/>
      <c r="AZ887" s="384"/>
      <c r="BA887" s="384"/>
      <c r="BB887" s="384"/>
      <c r="BC887" s="384"/>
      <c r="BD887" s="384"/>
      <c r="BE887" s="384"/>
      <c r="BF887" s="384"/>
      <c r="BG887" s="384"/>
      <c r="BH887" s="384"/>
      <c r="BI887" s="384"/>
      <c r="BJ887" s="384"/>
      <c r="BK887" s="384"/>
      <c r="BL887" s="384"/>
      <c r="BM887" s="384"/>
      <c r="BN887" s="384"/>
      <c r="BO887" s="384"/>
      <c r="BP887" s="384"/>
      <c r="BQ887" s="384"/>
      <c r="BR887" s="384"/>
      <c r="BS887" s="384"/>
      <c r="BT887" s="384"/>
      <c r="BU887" s="384"/>
      <c r="BV887" s="384"/>
      <c r="BW887" s="384"/>
      <c r="BX887" s="384"/>
      <c r="BY887" s="384"/>
      <c r="BZ887" s="384"/>
      <c r="CA887" s="384"/>
      <c r="CB887" s="384"/>
      <c r="CC887" s="384"/>
      <c r="CD887" s="384"/>
      <c r="CE887" s="384"/>
      <c r="CF887" s="384"/>
      <c r="CG887" s="384"/>
      <c r="CH887" s="384"/>
      <c r="CI887" s="384"/>
      <c r="CJ887" s="384"/>
      <c r="CK887" s="384"/>
      <c r="CL887" s="384"/>
      <c r="CM887" s="384"/>
      <c r="CN887" s="384"/>
      <c r="CO887" s="384"/>
      <c r="CP887" s="384"/>
      <c r="CQ887" s="384"/>
      <c r="CR887" s="384"/>
      <c r="CS887" s="384"/>
      <c r="CT887" s="384"/>
      <c r="CU887" s="384"/>
      <c r="CV887" s="384"/>
      <c r="CW887" s="384"/>
      <c r="CX887" s="384"/>
      <c r="CY887" s="384"/>
      <c r="CZ887" s="384"/>
      <c r="DA887" s="384"/>
      <c r="DB887" s="384"/>
      <c r="DC887" s="384"/>
      <c r="DD887" s="384"/>
      <c r="DE887" s="384"/>
      <c r="DF887" s="384"/>
      <c r="DG887" s="384"/>
      <c r="DH887" s="384"/>
      <c r="DI887" s="384"/>
      <c r="DJ887" s="384"/>
      <c r="DK887" s="384"/>
      <c r="DL887" s="384"/>
      <c r="DM887" s="384"/>
      <c r="DN887" s="384"/>
      <c r="DO887" s="384"/>
      <c r="DP887" s="384"/>
      <c r="DQ887" s="384"/>
      <c r="DR887" s="384"/>
      <c r="DS887" s="384"/>
      <c r="DT887" s="384"/>
      <c r="DU887" s="384"/>
      <c r="DV887" s="384"/>
      <c r="DW887" s="384"/>
      <c r="DX887" s="384"/>
      <c r="DY887" s="384"/>
      <c r="DZ887" s="384"/>
      <c r="EA887" s="384"/>
      <c r="EB887" s="384"/>
      <c r="EC887" s="384"/>
      <c r="ED887" s="384"/>
      <c r="EE887" s="384"/>
      <c r="EF887" s="384"/>
      <c r="EG887" s="384"/>
      <c r="EH887" s="384"/>
      <c r="EI887" s="384"/>
      <c r="EJ887" s="384"/>
      <c r="EK887" s="384"/>
      <c r="EL887" s="384"/>
      <c r="EM887" s="384"/>
      <c r="EN887" s="384"/>
      <c r="EO887" s="384"/>
      <c r="EP887" s="384"/>
      <c r="EQ887" s="384"/>
      <c r="ER887" s="384"/>
      <c r="ES887" s="384"/>
      <c r="ET887" s="384"/>
      <c r="EU887" s="384"/>
      <c r="EV887" s="384"/>
      <c r="EW887" s="384"/>
      <c r="EX887" s="384"/>
      <c r="EY887" s="384"/>
      <c r="EZ887" s="384"/>
      <c r="FA887" s="384"/>
      <c r="FB887" s="384"/>
      <c r="FC887" s="384"/>
      <c r="FD887" s="384"/>
      <c r="FE887" s="384"/>
      <c r="FF887" s="384"/>
      <c r="FG887" s="384"/>
      <c r="FH887" s="384"/>
      <c r="FI887" s="384"/>
      <c r="FJ887" s="384"/>
      <c r="FK887" s="384"/>
      <c r="FL887" s="384"/>
      <c r="FM887" s="384"/>
      <c r="FN887" s="384"/>
      <c r="FO887" s="384"/>
      <c r="FP887" s="384"/>
      <c r="FQ887" s="384"/>
      <c r="FR887" s="384"/>
      <c r="FS887" s="384"/>
      <c r="FT887" s="384"/>
      <c r="FU887" s="384"/>
      <c r="FV887" s="384"/>
      <c r="FW887" s="384"/>
      <c r="FX887" s="384"/>
      <c r="FY887" s="384"/>
      <c r="FZ887" s="384"/>
      <c r="GA887" s="384"/>
      <c r="GB887" s="384"/>
      <c r="GC887" s="384"/>
      <c r="GD887" s="384"/>
      <c r="GE887" s="384"/>
      <c r="GF887" s="384"/>
      <c r="GG887" s="384"/>
      <c r="GH887" s="384"/>
      <c r="GI887" s="384"/>
      <c r="GJ887" s="384"/>
      <c r="GK887" s="384"/>
      <c r="GL887" s="384"/>
      <c r="GM887" s="384"/>
      <c r="GN887" s="384"/>
      <c r="GO887" s="384"/>
      <c r="GP887" s="384"/>
      <c r="GQ887" s="384"/>
      <c r="GR887" s="384"/>
      <c r="GS887" s="384"/>
      <c r="GT887" s="384"/>
      <c r="GU887" s="384"/>
      <c r="GV887" s="384"/>
      <c r="GW887" s="384"/>
      <c r="GX887" s="384"/>
      <c r="GY887" s="384"/>
      <c r="GZ887" s="384"/>
      <c r="HA887" s="384"/>
      <c r="HB887" s="384"/>
      <c r="HC887" s="384"/>
      <c r="HD887" s="384"/>
      <c r="HE887" s="384"/>
      <c r="HF887" s="384"/>
      <c r="HG887" s="384"/>
      <c r="HH887" s="384"/>
      <c r="HI887" s="384"/>
      <c r="HJ887" s="384"/>
      <c r="HK887" s="384"/>
      <c r="HL887" s="384"/>
      <c r="HM887" s="384"/>
      <c r="HN887" s="384"/>
      <c r="HO887" s="384"/>
      <c r="HP887" s="384"/>
      <c r="HQ887" s="384"/>
      <c r="HR887" s="384"/>
      <c r="HS887" s="384"/>
      <c r="HT887" s="384"/>
      <c r="HU887" s="384"/>
      <c r="HV887" s="384"/>
      <c r="HW887" s="384"/>
      <c r="HX887" s="384"/>
      <c r="HY887" s="384"/>
      <c r="HZ887" s="384"/>
      <c r="IA887" s="384"/>
      <c r="IB887" s="384"/>
      <c r="IC887" s="384"/>
      <c r="ID887" s="384"/>
      <c r="IE887" s="384"/>
      <c r="IF887" s="384"/>
      <c r="IG887" s="384"/>
      <c r="IH887" s="384"/>
      <c r="II887" s="384"/>
      <c r="IJ887" s="384"/>
    </row>
    <row r="888" spans="9:244">
      <c r="I888" s="323"/>
      <c r="W888" s="323"/>
      <c r="X888" s="323"/>
      <c r="Y888" s="323"/>
      <c r="Z888" s="323"/>
      <c r="AA888" s="323"/>
      <c r="AB888" s="323"/>
      <c r="AC888" s="323"/>
      <c r="AD888" s="323"/>
      <c r="AE888" s="323"/>
      <c r="AF888" s="323"/>
      <c r="AG888" s="323"/>
      <c r="AH888" s="323"/>
      <c r="AI888" s="323"/>
      <c r="AJ888" s="323"/>
      <c r="AK888" s="323"/>
      <c r="AL888" s="323"/>
      <c r="AM888" s="323"/>
      <c r="AN888" s="323"/>
      <c r="AO888" s="323"/>
      <c r="AP888" s="323"/>
      <c r="AQ888" s="323"/>
      <c r="AR888" s="323"/>
      <c r="AS888" s="323"/>
      <c r="AT888" s="323"/>
      <c r="AU888" s="323"/>
      <c r="AV888" s="323"/>
      <c r="AW888" s="323"/>
      <c r="AX888" s="323"/>
      <c r="AY888" s="323"/>
      <c r="AZ888" s="323"/>
      <c r="BA888" s="323"/>
      <c r="BB888" s="323"/>
      <c r="BC888" s="323"/>
      <c r="BD888" s="323"/>
      <c r="BE888" s="323"/>
      <c r="BF888" s="323"/>
      <c r="BG888" s="323"/>
      <c r="BH888" s="323"/>
      <c r="BI888" s="323"/>
      <c r="BJ888" s="323"/>
      <c r="BK888" s="323"/>
      <c r="BL888" s="323"/>
      <c r="BM888" s="323"/>
      <c r="BN888" s="323"/>
      <c r="BO888" s="323"/>
      <c r="BP888" s="323"/>
      <c r="BQ888" s="323"/>
      <c r="BR888" s="323"/>
      <c r="BS888" s="323"/>
      <c r="BT888" s="323"/>
      <c r="BU888" s="323"/>
      <c r="BV888" s="323"/>
      <c r="BW888" s="323"/>
      <c r="BX888" s="323"/>
      <c r="BY888" s="323"/>
      <c r="BZ888" s="323"/>
      <c r="CA888" s="323"/>
      <c r="CB888" s="323"/>
      <c r="CC888" s="323"/>
      <c r="CD888" s="323"/>
      <c r="CE888" s="323"/>
      <c r="CF888" s="323"/>
      <c r="CG888" s="323"/>
      <c r="CH888" s="323"/>
      <c r="CI888" s="323"/>
      <c r="CJ888" s="323"/>
      <c r="CK888" s="323"/>
      <c r="CL888" s="323"/>
      <c r="CM888" s="323"/>
      <c r="CN888" s="323"/>
      <c r="CO888" s="323"/>
      <c r="CP888" s="323"/>
      <c r="CQ888" s="323"/>
      <c r="CR888" s="323"/>
      <c r="CS888" s="323"/>
      <c r="CT888" s="323"/>
      <c r="CU888" s="323"/>
      <c r="CV888" s="323"/>
      <c r="CW888" s="323"/>
      <c r="CX888" s="323"/>
      <c r="CY888" s="323"/>
      <c r="CZ888" s="323"/>
      <c r="DA888" s="323"/>
      <c r="DB888" s="323"/>
      <c r="DC888" s="323"/>
      <c r="DD888" s="323"/>
      <c r="DE888" s="323"/>
      <c r="DF888" s="323"/>
      <c r="DG888" s="323"/>
      <c r="DH888" s="323"/>
      <c r="DI888" s="323"/>
      <c r="DJ888" s="323"/>
      <c r="DK888" s="323"/>
      <c r="DL888" s="323"/>
      <c r="DM888" s="323"/>
      <c r="DN888" s="323"/>
      <c r="DO888" s="323"/>
      <c r="DP888" s="323"/>
      <c r="DQ888" s="323"/>
      <c r="DR888" s="323"/>
      <c r="DS888" s="323"/>
      <c r="DT888" s="323"/>
      <c r="DU888" s="323"/>
      <c r="DV888" s="323"/>
      <c r="DW888" s="323"/>
      <c r="DX888" s="323"/>
      <c r="DY888" s="323"/>
      <c r="DZ888" s="323"/>
      <c r="EA888" s="323"/>
      <c r="EB888" s="323"/>
      <c r="EC888" s="323"/>
      <c r="ED888" s="323"/>
      <c r="EE888" s="323"/>
      <c r="EF888" s="323"/>
      <c r="EG888" s="323"/>
      <c r="EH888" s="323"/>
      <c r="EI888" s="323"/>
      <c r="EJ888" s="323"/>
      <c r="EK888" s="323"/>
      <c r="EL888" s="323"/>
      <c r="EM888" s="323"/>
      <c r="EN888" s="323"/>
      <c r="EO888" s="323"/>
      <c r="EP888" s="323"/>
      <c r="EQ888" s="323"/>
      <c r="ER888" s="323"/>
      <c r="ES888" s="323"/>
      <c r="ET888" s="323"/>
      <c r="EU888" s="323"/>
      <c r="EV888" s="323"/>
      <c r="EW888" s="323"/>
      <c r="EX888" s="323"/>
      <c r="EY888" s="323"/>
      <c r="EZ888" s="323"/>
      <c r="FA888" s="323"/>
      <c r="FB888" s="323"/>
      <c r="FC888" s="323"/>
      <c r="FD888" s="323"/>
      <c r="FE888" s="323"/>
      <c r="FF888" s="323"/>
      <c r="FG888" s="323"/>
      <c r="FH888" s="323"/>
      <c r="FI888" s="323"/>
      <c r="FJ888" s="323"/>
      <c r="FK888" s="323"/>
      <c r="FL888" s="323"/>
      <c r="FM888" s="323"/>
      <c r="FN888" s="323"/>
      <c r="FO888" s="323"/>
      <c r="FP888" s="323"/>
      <c r="FQ888" s="323"/>
      <c r="FR888" s="323"/>
      <c r="FS888" s="323"/>
      <c r="FT888" s="323"/>
      <c r="FU888" s="323"/>
      <c r="FV888" s="323"/>
      <c r="FW888" s="323"/>
      <c r="FX888" s="323"/>
      <c r="FY888" s="323"/>
      <c r="FZ888" s="323"/>
      <c r="GA888" s="323"/>
      <c r="GB888" s="323"/>
      <c r="GC888" s="323"/>
      <c r="GD888" s="323"/>
      <c r="GE888" s="323"/>
      <c r="GF888" s="323"/>
      <c r="GG888" s="323"/>
      <c r="GH888" s="323"/>
      <c r="GI888" s="323"/>
      <c r="GJ888" s="323"/>
      <c r="GK888" s="323"/>
      <c r="GL888" s="323"/>
      <c r="GM888" s="323"/>
      <c r="GN888" s="323"/>
      <c r="GO888" s="323"/>
      <c r="GP888" s="323"/>
      <c r="GQ888" s="323"/>
      <c r="GR888" s="323"/>
      <c r="GS888" s="323"/>
      <c r="GT888" s="323"/>
      <c r="GU888" s="323"/>
      <c r="GV888" s="323"/>
      <c r="GW888" s="323"/>
      <c r="GX888" s="323"/>
      <c r="GY888" s="323"/>
      <c r="GZ888" s="323"/>
      <c r="HA888" s="323"/>
      <c r="HB888" s="323"/>
      <c r="HC888" s="323"/>
      <c r="HD888" s="323"/>
      <c r="HE888" s="323"/>
      <c r="HF888" s="323"/>
      <c r="HG888" s="323"/>
      <c r="HH888" s="323"/>
      <c r="HI888" s="323"/>
      <c r="HJ888" s="323"/>
      <c r="HK888" s="323"/>
      <c r="HL888" s="323"/>
      <c r="HM888" s="323"/>
      <c r="HN888" s="323"/>
      <c r="HO888" s="323"/>
      <c r="HP888" s="323"/>
      <c r="HQ888" s="323"/>
      <c r="HR888" s="323"/>
      <c r="HS888" s="323"/>
      <c r="HT888" s="323"/>
      <c r="HU888" s="323"/>
      <c r="HV888" s="323"/>
      <c r="HW888" s="323"/>
      <c r="HX888" s="323"/>
      <c r="HY888" s="323"/>
      <c r="HZ888" s="323"/>
      <c r="IA888" s="323"/>
      <c r="IB888" s="323"/>
      <c r="IC888" s="323"/>
      <c r="ID888" s="323"/>
      <c r="IE888" s="323"/>
      <c r="IF888" s="323"/>
      <c r="IG888" s="323"/>
      <c r="IH888" s="323"/>
      <c r="II888" s="323"/>
      <c r="IJ888" s="323"/>
    </row>
    <row r="889" spans="9:244">
      <c r="I889" s="323"/>
      <c r="W889" s="323"/>
      <c r="X889" s="323"/>
      <c r="Y889" s="323"/>
      <c r="Z889" s="323"/>
      <c r="AA889" s="323"/>
      <c r="AB889" s="323"/>
      <c r="AC889" s="323"/>
      <c r="AD889" s="323"/>
      <c r="AE889" s="323"/>
      <c r="AF889" s="323"/>
      <c r="AG889" s="323"/>
      <c r="AH889" s="323"/>
      <c r="AI889" s="323"/>
      <c r="AJ889" s="323"/>
      <c r="AK889" s="323"/>
      <c r="AL889" s="323"/>
      <c r="AM889" s="323"/>
      <c r="AN889" s="323"/>
      <c r="AO889" s="323"/>
      <c r="AP889" s="323"/>
      <c r="AQ889" s="323"/>
      <c r="AR889" s="323"/>
      <c r="AS889" s="323"/>
      <c r="AT889" s="323"/>
      <c r="AU889" s="323"/>
      <c r="AV889" s="323"/>
      <c r="AW889" s="323"/>
      <c r="AX889" s="323"/>
      <c r="AY889" s="323"/>
      <c r="AZ889" s="323"/>
      <c r="BA889" s="323"/>
      <c r="BB889" s="323"/>
      <c r="BC889" s="323"/>
      <c r="BD889" s="323"/>
      <c r="BE889" s="323"/>
      <c r="BF889" s="323"/>
      <c r="BG889" s="323"/>
      <c r="BH889" s="323"/>
      <c r="BI889" s="323"/>
      <c r="BJ889" s="323"/>
      <c r="BK889" s="323"/>
      <c r="BL889" s="323"/>
      <c r="BM889" s="323"/>
      <c r="BN889" s="323"/>
      <c r="BO889" s="323"/>
      <c r="BP889" s="323"/>
      <c r="BQ889" s="323"/>
      <c r="BR889" s="323"/>
      <c r="BS889" s="323"/>
      <c r="BT889" s="323"/>
      <c r="BU889" s="323"/>
      <c r="BV889" s="323"/>
      <c r="BW889" s="323"/>
      <c r="BX889" s="323"/>
      <c r="BY889" s="323"/>
      <c r="BZ889" s="323"/>
      <c r="CA889" s="323"/>
      <c r="CB889" s="323"/>
      <c r="CC889" s="323"/>
      <c r="CD889" s="323"/>
      <c r="CE889" s="323"/>
      <c r="CF889" s="323"/>
      <c r="CG889" s="323"/>
      <c r="CH889" s="323"/>
      <c r="CI889" s="323"/>
      <c r="CJ889" s="323"/>
      <c r="CK889" s="323"/>
      <c r="CL889" s="323"/>
      <c r="CM889" s="323"/>
      <c r="CN889" s="323"/>
      <c r="CO889" s="323"/>
      <c r="CP889" s="323"/>
      <c r="CQ889" s="323"/>
      <c r="CR889" s="323"/>
      <c r="CS889" s="323"/>
      <c r="CT889" s="323"/>
      <c r="CU889" s="323"/>
      <c r="CV889" s="323"/>
      <c r="CW889" s="323"/>
      <c r="CX889" s="323"/>
      <c r="CY889" s="323"/>
      <c r="CZ889" s="323"/>
      <c r="DA889" s="323"/>
      <c r="DB889" s="323"/>
      <c r="DC889" s="323"/>
      <c r="DD889" s="323"/>
      <c r="DE889" s="323"/>
      <c r="DF889" s="323"/>
      <c r="DG889" s="323"/>
      <c r="DH889" s="323"/>
      <c r="DI889" s="323"/>
      <c r="DJ889" s="323"/>
      <c r="DK889" s="323"/>
      <c r="DL889" s="323"/>
      <c r="DM889" s="323"/>
      <c r="DN889" s="323"/>
      <c r="DO889" s="323"/>
      <c r="DP889" s="323"/>
      <c r="DQ889" s="323"/>
      <c r="DR889" s="323"/>
      <c r="DS889" s="323"/>
      <c r="DT889" s="323"/>
      <c r="DU889" s="323"/>
      <c r="DV889" s="323"/>
      <c r="DW889" s="323"/>
      <c r="DX889" s="323"/>
      <c r="DY889" s="323"/>
      <c r="DZ889" s="323"/>
      <c r="EA889" s="323"/>
      <c r="EB889" s="323"/>
      <c r="EC889" s="323"/>
      <c r="ED889" s="323"/>
      <c r="EE889" s="323"/>
      <c r="EF889" s="323"/>
      <c r="EG889" s="323"/>
      <c r="EH889" s="323"/>
      <c r="EI889" s="323"/>
      <c r="EJ889" s="323"/>
      <c r="EK889" s="323"/>
      <c r="EL889" s="323"/>
      <c r="EM889" s="323"/>
      <c r="EN889" s="323"/>
      <c r="EO889" s="323"/>
      <c r="EP889" s="323"/>
      <c r="EQ889" s="323"/>
      <c r="ER889" s="323"/>
      <c r="ES889" s="323"/>
      <c r="ET889" s="323"/>
      <c r="EU889" s="323"/>
      <c r="EV889" s="323"/>
      <c r="EW889" s="323"/>
      <c r="EX889" s="323"/>
      <c r="EY889" s="323"/>
      <c r="EZ889" s="323"/>
      <c r="FA889" s="323"/>
      <c r="FB889" s="323"/>
      <c r="FC889" s="323"/>
      <c r="FD889" s="323"/>
      <c r="FE889" s="323"/>
      <c r="FF889" s="323"/>
      <c r="FG889" s="323"/>
      <c r="FH889" s="323"/>
      <c r="FI889" s="323"/>
      <c r="FJ889" s="323"/>
      <c r="FK889" s="323"/>
      <c r="FL889" s="323"/>
      <c r="FM889" s="323"/>
      <c r="FN889" s="323"/>
      <c r="FO889" s="323"/>
      <c r="FP889" s="323"/>
      <c r="FQ889" s="323"/>
      <c r="FR889" s="323"/>
      <c r="FS889" s="323"/>
      <c r="FT889" s="323"/>
      <c r="FU889" s="323"/>
      <c r="FV889" s="323"/>
      <c r="FW889" s="323"/>
      <c r="FX889" s="323"/>
      <c r="FY889" s="323"/>
      <c r="FZ889" s="323"/>
      <c r="GA889" s="323"/>
      <c r="GB889" s="323"/>
      <c r="GC889" s="323"/>
      <c r="GD889" s="323"/>
      <c r="GE889" s="323"/>
      <c r="GF889" s="323"/>
      <c r="GG889" s="323"/>
      <c r="GH889" s="323"/>
      <c r="GI889" s="323"/>
      <c r="GJ889" s="323"/>
      <c r="GK889" s="323"/>
      <c r="GL889" s="323"/>
      <c r="GM889" s="323"/>
      <c r="GN889" s="323"/>
      <c r="GO889" s="323"/>
      <c r="GP889" s="323"/>
      <c r="GQ889" s="323"/>
      <c r="GR889" s="323"/>
      <c r="GS889" s="323"/>
      <c r="GT889" s="323"/>
      <c r="GU889" s="323"/>
      <c r="GV889" s="323"/>
      <c r="GW889" s="323"/>
      <c r="GX889" s="323"/>
      <c r="GY889" s="323"/>
      <c r="GZ889" s="323"/>
      <c r="HA889" s="323"/>
      <c r="HB889" s="323"/>
      <c r="HC889" s="323"/>
      <c r="HD889" s="323"/>
      <c r="HE889" s="323"/>
      <c r="HF889" s="323"/>
      <c r="HG889" s="323"/>
      <c r="HH889" s="323"/>
      <c r="HI889" s="323"/>
      <c r="HJ889" s="323"/>
      <c r="HK889" s="323"/>
      <c r="HL889" s="323"/>
      <c r="HM889" s="323"/>
      <c r="HN889" s="323"/>
      <c r="HO889" s="323"/>
      <c r="HP889" s="323"/>
      <c r="HQ889" s="323"/>
      <c r="HR889" s="323"/>
      <c r="HS889" s="323"/>
      <c r="HT889" s="323"/>
      <c r="HU889" s="323"/>
      <c r="HV889" s="323"/>
      <c r="HW889" s="323"/>
      <c r="HX889" s="323"/>
      <c r="HY889" s="323"/>
      <c r="HZ889" s="323"/>
      <c r="IA889" s="323"/>
      <c r="IB889" s="323"/>
      <c r="IC889" s="323"/>
      <c r="ID889" s="323"/>
      <c r="IE889" s="323"/>
      <c r="IF889" s="323"/>
      <c r="IG889" s="323"/>
      <c r="IH889" s="323"/>
      <c r="II889" s="323"/>
      <c r="IJ889" s="323"/>
    </row>
    <row r="890" spans="9:244">
      <c r="I890" s="323"/>
      <c r="W890" s="323"/>
      <c r="X890" s="323"/>
      <c r="Y890" s="323"/>
      <c r="Z890" s="323"/>
      <c r="AA890" s="323"/>
      <c r="AB890" s="323"/>
      <c r="AC890" s="323"/>
      <c r="AD890" s="323"/>
      <c r="AE890" s="323"/>
      <c r="AF890" s="323"/>
      <c r="AG890" s="323"/>
      <c r="AH890" s="323"/>
      <c r="AI890" s="323"/>
      <c r="AJ890" s="323"/>
      <c r="AK890" s="323"/>
      <c r="AL890" s="323"/>
      <c r="AM890" s="323"/>
      <c r="AN890" s="323"/>
      <c r="AO890" s="323"/>
      <c r="AP890" s="323"/>
      <c r="AQ890" s="323"/>
      <c r="AR890" s="323"/>
      <c r="AS890" s="323"/>
      <c r="AT890" s="323"/>
      <c r="AU890" s="323"/>
      <c r="AV890" s="323"/>
      <c r="AW890" s="323"/>
      <c r="AX890" s="323"/>
      <c r="AY890" s="323"/>
      <c r="AZ890" s="323"/>
      <c r="BA890" s="323"/>
      <c r="BB890" s="323"/>
      <c r="BC890" s="323"/>
      <c r="BD890" s="323"/>
      <c r="BE890" s="323"/>
      <c r="BF890" s="323"/>
      <c r="BG890" s="323"/>
      <c r="BH890" s="323"/>
      <c r="BI890" s="323"/>
      <c r="BJ890" s="323"/>
      <c r="BK890" s="323"/>
      <c r="BL890" s="323"/>
      <c r="BM890" s="323"/>
      <c r="BN890" s="323"/>
      <c r="BO890" s="323"/>
      <c r="BP890" s="323"/>
      <c r="BQ890" s="323"/>
      <c r="BR890" s="323"/>
      <c r="BS890" s="323"/>
      <c r="BT890" s="323"/>
      <c r="BU890" s="323"/>
      <c r="BV890" s="323"/>
      <c r="BW890" s="323"/>
      <c r="BX890" s="323"/>
      <c r="BY890" s="323"/>
      <c r="BZ890" s="323"/>
      <c r="CA890" s="323"/>
      <c r="CB890" s="323"/>
      <c r="CC890" s="323"/>
      <c r="CD890" s="323"/>
      <c r="CE890" s="323"/>
      <c r="CF890" s="323"/>
      <c r="CG890" s="323"/>
      <c r="CH890" s="323"/>
      <c r="CI890" s="323"/>
      <c r="CJ890" s="323"/>
      <c r="CK890" s="323"/>
      <c r="CL890" s="323"/>
      <c r="CM890" s="323"/>
      <c r="CN890" s="323"/>
      <c r="CO890" s="323"/>
      <c r="CP890" s="323"/>
      <c r="CQ890" s="323"/>
      <c r="CR890" s="323"/>
      <c r="CS890" s="323"/>
      <c r="CT890" s="323"/>
      <c r="CU890" s="323"/>
      <c r="CV890" s="323"/>
      <c r="CW890" s="323"/>
      <c r="CX890" s="323"/>
      <c r="CY890" s="323"/>
      <c r="CZ890" s="323"/>
      <c r="DA890" s="323"/>
      <c r="DB890" s="323"/>
      <c r="DC890" s="323"/>
      <c r="DD890" s="323"/>
      <c r="DE890" s="323"/>
      <c r="DF890" s="323"/>
      <c r="DG890" s="323"/>
      <c r="DH890" s="323"/>
      <c r="DI890" s="323"/>
      <c r="DJ890" s="323"/>
      <c r="DK890" s="323"/>
      <c r="DL890" s="323"/>
      <c r="DM890" s="323"/>
      <c r="DN890" s="323"/>
      <c r="DO890" s="323"/>
      <c r="DP890" s="323"/>
      <c r="DQ890" s="323"/>
      <c r="DR890" s="323"/>
      <c r="DS890" s="323"/>
      <c r="DT890" s="323"/>
      <c r="DU890" s="323"/>
      <c r="DV890" s="323"/>
      <c r="DW890" s="323"/>
      <c r="DX890" s="323"/>
      <c r="DY890" s="323"/>
      <c r="DZ890" s="323"/>
      <c r="EA890" s="323"/>
      <c r="EB890" s="323"/>
      <c r="EC890" s="323"/>
      <c r="ED890" s="323"/>
      <c r="EE890" s="323"/>
      <c r="EF890" s="323"/>
      <c r="EG890" s="323"/>
      <c r="EH890" s="323"/>
      <c r="EI890" s="323"/>
      <c r="EJ890" s="323"/>
      <c r="EK890" s="323"/>
      <c r="EL890" s="323"/>
      <c r="EM890" s="323"/>
      <c r="EN890" s="323"/>
      <c r="EO890" s="323"/>
      <c r="EP890" s="323"/>
      <c r="EQ890" s="323"/>
      <c r="ER890" s="323"/>
      <c r="ES890" s="323"/>
      <c r="ET890" s="323"/>
      <c r="EU890" s="323"/>
      <c r="EV890" s="323"/>
      <c r="EW890" s="323"/>
      <c r="EX890" s="323"/>
      <c r="EY890" s="323"/>
      <c r="EZ890" s="323"/>
      <c r="FA890" s="323"/>
      <c r="FB890" s="323"/>
      <c r="FC890" s="323"/>
      <c r="FD890" s="323"/>
      <c r="FE890" s="323"/>
      <c r="FF890" s="323"/>
      <c r="FG890" s="323"/>
      <c r="FH890" s="323"/>
      <c r="FI890" s="323"/>
      <c r="FJ890" s="323"/>
      <c r="FK890" s="323"/>
      <c r="FL890" s="323"/>
      <c r="FM890" s="323"/>
      <c r="FN890" s="323"/>
      <c r="FO890" s="323"/>
      <c r="FP890" s="323"/>
      <c r="FQ890" s="323"/>
      <c r="FR890" s="323"/>
      <c r="FS890" s="323"/>
      <c r="FT890" s="323"/>
      <c r="FU890" s="323"/>
      <c r="FV890" s="323"/>
      <c r="FW890" s="323"/>
      <c r="FX890" s="323"/>
      <c r="FY890" s="323"/>
      <c r="FZ890" s="323"/>
      <c r="GA890" s="323"/>
      <c r="GB890" s="323"/>
      <c r="GC890" s="323"/>
      <c r="GD890" s="323"/>
      <c r="GE890" s="323"/>
      <c r="GF890" s="323"/>
      <c r="GG890" s="323"/>
      <c r="GH890" s="323"/>
      <c r="GI890" s="323"/>
      <c r="GJ890" s="323"/>
      <c r="GK890" s="323"/>
      <c r="GL890" s="323"/>
      <c r="GM890" s="323"/>
      <c r="GN890" s="323"/>
      <c r="GO890" s="323"/>
      <c r="GP890" s="323"/>
      <c r="GQ890" s="323"/>
      <c r="GR890" s="323"/>
      <c r="GS890" s="323"/>
      <c r="GT890" s="323"/>
      <c r="GU890" s="323"/>
      <c r="GV890" s="323"/>
      <c r="GW890" s="323"/>
      <c r="GX890" s="323"/>
      <c r="GY890" s="323"/>
      <c r="GZ890" s="323"/>
      <c r="HA890" s="323"/>
      <c r="HB890" s="323"/>
      <c r="HC890" s="323"/>
      <c r="HD890" s="323"/>
      <c r="HE890" s="323"/>
      <c r="HF890" s="323"/>
      <c r="HG890" s="323"/>
      <c r="HH890" s="323"/>
      <c r="HI890" s="323"/>
      <c r="HJ890" s="323"/>
      <c r="HK890" s="323"/>
      <c r="HL890" s="323"/>
      <c r="HM890" s="323"/>
      <c r="HN890" s="323"/>
      <c r="HO890" s="323"/>
      <c r="HP890" s="323"/>
      <c r="HQ890" s="323"/>
      <c r="HR890" s="323"/>
      <c r="HS890" s="323"/>
      <c r="HT890" s="323"/>
      <c r="HU890" s="323"/>
      <c r="HV890" s="323"/>
      <c r="HW890" s="323"/>
      <c r="HX890" s="323"/>
      <c r="HY890" s="323"/>
      <c r="HZ890" s="323"/>
      <c r="IA890" s="323"/>
      <c r="IB890" s="323"/>
      <c r="IC890" s="323"/>
      <c r="ID890" s="323"/>
      <c r="IE890" s="323"/>
      <c r="IF890" s="323"/>
      <c r="IG890" s="323"/>
      <c r="IH890" s="323"/>
      <c r="II890" s="323"/>
      <c r="IJ890" s="323"/>
    </row>
    <row r="891" spans="9:244">
      <c r="I891" s="385"/>
      <c r="W891" s="385"/>
      <c r="X891" s="385"/>
      <c r="Y891" s="385"/>
      <c r="Z891" s="385"/>
      <c r="AA891" s="385"/>
      <c r="AB891" s="385"/>
      <c r="AC891" s="385"/>
      <c r="AD891" s="385"/>
      <c r="AE891" s="385"/>
      <c r="AF891" s="385"/>
      <c r="AG891" s="385"/>
      <c r="AH891" s="385"/>
      <c r="AI891" s="385"/>
      <c r="AJ891" s="385"/>
      <c r="AK891" s="385"/>
      <c r="AL891" s="385"/>
      <c r="AM891" s="385"/>
      <c r="AN891" s="385"/>
      <c r="AO891" s="385"/>
      <c r="AP891" s="385"/>
      <c r="AQ891" s="385"/>
      <c r="AR891" s="385"/>
      <c r="AS891" s="385"/>
      <c r="AT891" s="385"/>
      <c r="AU891" s="385"/>
      <c r="AV891" s="385"/>
      <c r="AW891" s="385"/>
      <c r="AX891" s="385"/>
      <c r="AY891" s="385"/>
      <c r="AZ891" s="385"/>
      <c r="BA891" s="385"/>
      <c r="BB891" s="385"/>
      <c r="BC891" s="385"/>
      <c r="BD891" s="385"/>
      <c r="BE891" s="385"/>
      <c r="BF891" s="385"/>
      <c r="BG891" s="385"/>
      <c r="BH891" s="385"/>
      <c r="BI891" s="385"/>
      <c r="BJ891" s="385"/>
      <c r="BK891" s="385"/>
      <c r="BL891" s="385"/>
      <c r="BM891" s="385"/>
      <c r="BN891" s="385"/>
      <c r="BO891" s="385"/>
      <c r="BP891" s="385"/>
      <c r="BQ891" s="385"/>
      <c r="BR891" s="385"/>
      <c r="BS891" s="385"/>
      <c r="BT891" s="385"/>
      <c r="BU891" s="385"/>
      <c r="BV891" s="385"/>
      <c r="BW891" s="385"/>
      <c r="BX891" s="385"/>
      <c r="BY891" s="385"/>
      <c r="BZ891" s="385"/>
      <c r="CA891" s="385"/>
      <c r="CB891" s="385"/>
      <c r="CC891" s="385"/>
      <c r="CD891" s="385"/>
      <c r="CE891" s="385"/>
      <c r="CF891" s="385"/>
      <c r="CG891" s="385"/>
      <c r="CH891" s="385"/>
      <c r="CI891" s="385"/>
      <c r="CJ891" s="385"/>
      <c r="CK891" s="385"/>
      <c r="CL891" s="385"/>
      <c r="CM891" s="385"/>
      <c r="CN891" s="385"/>
      <c r="CO891" s="385"/>
      <c r="CP891" s="385"/>
      <c r="CQ891" s="385"/>
      <c r="CR891" s="385"/>
      <c r="CS891" s="385"/>
      <c r="CT891" s="385"/>
      <c r="CU891" s="385"/>
      <c r="CV891" s="385"/>
      <c r="CW891" s="385"/>
      <c r="CX891" s="385"/>
      <c r="CY891" s="385"/>
      <c r="CZ891" s="385"/>
      <c r="DA891" s="385"/>
      <c r="DB891" s="385"/>
      <c r="DC891" s="385"/>
      <c r="DD891" s="385"/>
      <c r="DE891" s="385"/>
      <c r="DF891" s="385"/>
      <c r="DG891" s="385"/>
      <c r="DH891" s="385"/>
      <c r="DI891" s="385"/>
      <c r="DJ891" s="385"/>
      <c r="DK891" s="385"/>
      <c r="DL891" s="385"/>
      <c r="DM891" s="385"/>
      <c r="DN891" s="385"/>
      <c r="DO891" s="385"/>
      <c r="DP891" s="385"/>
      <c r="DQ891" s="385"/>
      <c r="DR891" s="385"/>
      <c r="DS891" s="385"/>
      <c r="DT891" s="385"/>
      <c r="DU891" s="385"/>
      <c r="DV891" s="385"/>
      <c r="DW891" s="385"/>
      <c r="DX891" s="385"/>
      <c r="DY891" s="385"/>
      <c r="DZ891" s="385"/>
      <c r="EA891" s="385"/>
      <c r="EB891" s="385"/>
      <c r="EC891" s="385"/>
      <c r="ED891" s="385"/>
      <c r="EE891" s="385"/>
      <c r="EF891" s="385"/>
      <c r="EG891" s="385"/>
      <c r="EH891" s="385"/>
      <c r="EI891" s="385"/>
      <c r="EJ891" s="385"/>
      <c r="EK891" s="385"/>
      <c r="EL891" s="385"/>
      <c r="EM891" s="385"/>
      <c r="EN891" s="385"/>
      <c r="EO891" s="385"/>
      <c r="EP891" s="385"/>
      <c r="EQ891" s="385"/>
      <c r="ER891" s="385"/>
      <c r="ES891" s="385"/>
      <c r="ET891" s="385"/>
      <c r="EU891" s="385"/>
      <c r="EV891" s="385"/>
      <c r="EW891" s="385"/>
      <c r="EX891" s="385"/>
      <c r="EY891" s="385"/>
      <c r="EZ891" s="385"/>
      <c r="FA891" s="385"/>
      <c r="FB891" s="385"/>
      <c r="FC891" s="385"/>
      <c r="FD891" s="385"/>
      <c r="FE891" s="385"/>
      <c r="FF891" s="385"/>
      <c r="FG891" s="385"/>
      <c r="FH891" s="385"/>
      <c r="FI891" s="385"/>
      <c r="FJ891" s="385"/>
      <c r="FK891" s="385"/>
      <c r="FL891" s="385"/>
      <c r="FM891" s="385"/>
      <c r="FN891" s="385"/>
      <c r="FO891" s="385"/>
      <c r="FP891" s="385"/>
      <c r="FQ891" s="385"/>
      <c r="FR891" s="385"/>
      <c r="FS891" s="385"/>
      <c r="FT891" s="385"/>
      <c r="FU891" s="385"/>
      <c r="FV891" s="385"/>
      <c r="FW891" s="385"/>
      <c r="FX891" s="385"/>
      <c r="FY891" s="385"/>
      <c r="FZ891" s="385"/>
      <c r="GA891" s="385"/>
      <c r="GB891" s="385"/>
      <c r="GC891" s="385"/>
      <c r="GD891" s="385"/>
      <c r="GE891" s="385"/>
      <c r="GF891" s="385"/>
      <c r="GG891" s="385"/>
      <c r="GH891" s="385"/>
      <c r="GI891" s="385"/>
      <c r="GJ891" s="385"/>
      <c r="GK891" s="385"/>
      <c r="GL891" s="385"/>
      <c r="GM891" s="385"/>
      <c r="GN891" s="385"/>
      <c r="GO891" s="385"/>
      <c r="GP891" s="385"/>
      <c r="GQ891" s="385"/>
      <c r="GR891" s="385"/>
      <c r="GS891" s="385"/>
      <c r="GT891" s="385"/>
      <c r="GU891" s="385"/>
      <c r="GV891" s="385"/>
      <c r="GW891" s="385"/>
      <c r="GX891" s="385"/>
      <c r="GY891" s="385"/>
      <c r="GZ891" s="385"/>
      <c r="HA891" s="385"/>
      <c r="HB891" s="385"/>
      <c r="HC891" s="385"/>
      <c r="HD891" s="385"/>
      <c r="HE891" s="385"/>
      <c r="HF891" s="385"/>
      <c r="HG891" s="385"/>
      <c r="HH891" s="385"/>
      <c r="HI891" s="385"/>
      <c r="HJ891" s="385"/>
      <c r="HK891" s="385"/>
      <c r="HL891" s="385"/>
      <c r="HM891" s="385"/>
      <c r="HN891" s="385"/>
      <c r="HO891" s="385"/>
      <c r="HP891" s="385"/>
      <c r="HQ891" s="385"/>
      <c r="HR891" s="385"/>
      <c r="HS891" s="385"/>
      <c r="HT891" s="385"/>
      <c r="HU891" s="385"/>
      <c r="HV891" s="385"/>
      <c r="HW891" s="385"/>
      <c r="HX891" s="385"/>
      <c r="HY891" s="385"/>
      <c r="HZ891" s="385"/>
      <c r="IA891" s="385"/>
      <c r="IB891" s="385"/>
      <c r="IC891" s="385"/>
      <c r="ID891" s="385"/>
      <c r="IE891" s="385"/>
      <c r="IF891" s="385"/>
      <c r="IG891" s="385"/>
      <c r="IH891" s="385"/>
      <c r="II891" s="385"/>
      <c r="IJ891" s="385"/>
    </row>
    <row r="1002" spans="9:9">
      <c r="I1002" s="383"/>
    </row>
    <row r="1003" spans="9:9">
      <c r="I1003" s="323"/>
    </row>
    <row r="1004" spans="9:9">
      <c r="I1004" s="323"/>
    </row>
    <row r="1005" spans="9:9">
      <c r="I1005" s="323"/>
    </row>
    <row r="1006" spans="9:9">
      <c r="I1006" s="385"/>
    </row>
  </sheetData>
  <phoneticPr fontId="126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R52"/>
  <sheetViews>
    <sheetView zoomScale="90" zoomScaleNormal="90" zoomScalePageLayoutView="90" workbookViewId="0">
      <selection activeCell="B16" sqref="B16:C19"/>
    </sheetView>
  </sheetViews>
  <sheetFormatPr baseColWidth="10" defaultColWidth="8.75" defaultRowHeight="12.75"/>
  <cols>
    <col min="1" max="1" width="14.25" customWidth="1"/>
    <col min="2" max="2" width="12.25" customWidth="1"/>
    <col min="3" max="3" width="9.75" customWidth="1"/>
    <col min="4" max="4" width="9.25" customWidth="1"/>
    <col min="5" max="8" width="9" style="184" customWidth="1"/>
    <col min="9" max="12" width="14.25" style="184" bestFit="1" customWidth="1"/>
    <col min="14" max="14" width="11.25" style="184" customWidth="1"/>
    <col min="15" max="18" width="14.25" style="184" bestFit="1" customWidth="1"/>
  </cols>
  <sheetData>
    <row r="1" spans="1:18">
      <c r="A1" s="295">
        <v>42601</v>
      </c>
      <c r="B1" s="225" t="s">
        <v>181</v>
      </c>
      <c r="E1" s="242" t="s">
        <v>150</v>
      </c>
      <c r="F1" s="242" t="s">
        <v>149</v>
      </c>
      <c r="G1" s="242" t="s">
        <v>148</v>
      </c>
      <c r="H1" s="242" t="s">
        <v>147</v>
      </c>
      <c r="I1" s="242" t="s">
        <v>164</v>
      </c>
      <c r="J1" s="242" t="s">
        <v>165</v>
      </c>
      <c r="K1" s="242" t="s">
        <v>166</v>
      </c>
      <c r="L1" s="242" t="s">
        <v>167</v>
      </c>
      <c r="N1" s="242" t="s">
        <v>168</v>
      </c>
      <c r="O1" s="242" t="s">
        <v>164</v>
      </c>
      <c r="P1" s="242" t="s">
        <v>165</v>
      </c>
      <c r="Q1" s="242" t="s">
        <v>166</v>
      </c>
      <c r="R1" s="242" t="s">
        <v>167</v>
      </c>
    </row>
    <row r="2" spans="1:18">
      <c r="E2" s="244">
        <v>99190.994036787495</v>
      </c>
      <c r="F2" s="244">
        <v>3710.0761067932999</v>
      </c>
      <c r="G2" s="244">
        <v>422323.49405254098</v>
      </c>
      <c r="H2" s="244">
        <v>100106.155545701</v>
      </c>
      <c r="I2">
        <v>1.02103253998383</v>
      </c>
      <c r="J2">
        <v>4.3200311595512302</v>
      </c>
      <c r="K2"/>
      <c r="L2" s="245">
        <v>3.74479948675496E-2</v>
      </c>
      <c r="M2" s="243" t="s">
        <v>169</v>
      </c>
      <c r="N2" s="244">
        <v>1</v>
      </c>
      <c r="O2">
        <v>1.02103253998383</v>
      </c>
      <c r="P2">
        <v>4.3200311595512302</v>
      </c>
      <c r="Q2"/>
      <c r="R2" s="245">
        <v>3.74479948675496E-2</v>
      </c>
    </row>
    <row r="3" spans="1:18">
      <c r="B3" s="224" t="s">
        <v>152</v>
      </c>
      <c r="C3" s="224" t="s">
        <v>153</v>
      </c>
      <c r="E3" s="244">
        <v>97766.952016903102</v>
      </c>
      <c r="F3" s="244">
        <v>3617.0221318479998</v>
      </c>
      <c r="G3" s="244">
        <v>428655.52553421602</v>
      </c>
      <c r="H3" s="244">
        <v>99097.611943795404</v>
      </c>
      <c r="I3">
        <v>1.0033638374341001</v>
      </c>
      <c r="J3">
        <v>4.3273251007746403</v>
      </c>
      <c r="K3">
        <v>8.43311897947281E-3</v>
      </c>
      <c r="L3" s="245">
        <v>3.65892291971548E-2</v>
      </c>
      <c r="M3" s="243" t="s">
        <v>170</v>
      </c>
      <c r="N3" s="244">
        <v>44</v>
      </c>
      <c r="O3">
        <v>1.0033638374341001</v>
      </c>
      <c r="P3">
        <v>4.3273251007746403</v>
      </c>
      <c r="Q3">
        <v>8.43311897947281E-3</v>
      </c>
      <c r="R3" s="245">
        <v>3.65892291971548E-2</v>
      </c>
    </row>
    <row r="4" spans="1:18">
      <c r="A4" s="225" t="s">
        <v>198</v>
      </c>
      <c r="B4" s="404">
        <f>I23</f>
        <v>1.0141743887581642</v>
      </c>
      <c r="C4" s="405">
        <f>I26</f>
        <v>5.2028932017695812E-3</v>
      </c>
      <c r="D4" s="267">
        <f>C4/B4</f>
        <v>5.130176091451508E-3</v>
      </c>
      <c r="E4" s="244">
        <v>99289.045580109101</v>
      </c>
      <c r="F4" s="244">
        <v>3608.8799242413402</v>
      </c>
      <c r="G4" s="244">
        <v>427568.57994730899</v>
      </c>
      <c r="H4" s="244">
        <v>102142.033622202</v>
      </c>
      <c r="I4">
        <v>1.0335101216192899</v>
      </c>
      <c r="J4">
        <v>4.3421845284149398</v>
      </c>
      <c r="K4">
        <v>8.4112159113117792E-3</v>
      </c>
      <c r="L4" s="245">
        <v>3.6535398467302797E-2</v>
      </c>
      <c r="M4" s="225"/>
      <c r="N4" s="242" t="s">
        <v>171</v>
      </c>
      <c r="O4">
        <v>1.0335101216192899</v>
      </c>
      <c r="P4">
        <v>4.3421845284149398</v>
      </c>
      <c r="Q4">
        <v>8.4112159113117792E-3</v>
      </c>
      <c r="R4" s="245">
        <v>3.6535398467302797E-2</v>
      </c>
    </row>
    <row r="5" spans="1:18">
      <c r="B5" s="406">
        <f>B16</f>
        <v>4.3076480681392129</v>
      </c>
      <c r="C5" s="406">
        <f>C16</f>
        <v>3.209605486363061E-2</v>
      </c>
      <c r="E5" s="244">
        <v>98425.270355609406</v>
      </c>
      <c r="F5" s="244">
        <v>3601.90089109685</v>
      </c>
      <c r="G5" s="244">
        <v>430290.75124576502</v>
      </c>
      <c r="H5" s="244">
        <v>99391.766624349606</v>
      </c>
      <c r="I5" s="245">
        <v>1.0164684641194099</v>
      </c>
      <c r="J5">
        <v>4.3966600433033101</v>
      </c>
      <c r="K5">
        <v>8.2766840950811195E-3</v>
      </c>
      <c r="L5" s="245">
        <v>3.65539148197013E-2</v>
      </c>
      <c r="M5" s="243" t="s">
        <v>169</v>
      </c>
      <c r="N5" s="244">
        <v>1</v>
      </c>
      <c r="O5" s="245">
        <v>1.0164684641194099</v>
      </c>
      <c r="P5">
        <v>4.3966600433033101</v>
      </c>
      <c r="Q5">
        <v>8.2766840950811195E-3</v>
      </c>
      <c r="R5" s="245">
        <v>3.65539148197013E-2</v>
      </c>
    </row>
    <row r="6" spans="1:18">
      <c r="A6" s="225" t="s">
        <v>195</v>
      </c>
      <c r="B6" s="257">
        <f>B4*(1-B28*B9*B25/B7)</f>
        <v>1.0141024632596316</v>
      </c>
      <c r="C6" s="276">
        <f>B6*SQRT(D4^2+(((B28*B9*B25/B7)*SQRT(C28^2+D9^2+D25^2))/(1-B28*B9*B25/B7))^2)</f>
        <v>5.2025689799571964E-3</v>
      </c>
      <c r="D6" s="267">
        <f>C6/B6</f>
        <v>5.130220237543422E-3</v>
      </c>
      <c r="E6" s="244">
        <v>97762.283149522395</v>
      </c>
      <c r="F6" s="244">
        <v>3541.4160124590899</v>
      </c>
      <c r="G6" s="244">
        <v>430659.39946577098</v>
      </c>
      <c r="H6" s="244">
        <v>99896.039205778696</v>
      </c>
      <c r="I6">
        <v>1.0007407467920399</v>
      </c>
      <c r="J6">
        <v>4.3143562254962697</v>
      </c>
      <c r="K6">
        <v>8.2643674267023608E-3</v>
      </c>
      <c r="L6" s="245">
        <v>3.57041020655871E-2</v>
      </c>
      <c r="M6" s="243" t="s">
        <v>170</v>
      </c>
      <c r="N6" s="244">
        <v>44</v>
      </c>
      <c r="O6">
        <v>1.0007407467920399</v>
      </c>
      <c r="P6">
        <v>4.3143562254962697</v>
      </c>
      <c r="Q6">
        <v>8.2643674267023608E-3</v>
      </c>
      <c r="R6" s="245">
        <v>3.57041020655871E-2</v>
      </c>
    </row>
    <row r="7" spans="1:18">
      <c r="A7" s="225" t="s">
        <v>194</v>
      </c>
      <c r="B7" s="258">
        <f>B49</f>
        <v>1.0083979999999999</v>
      </c>
      <c r="C7" s="184"/>
      <c r="D7" s="266">
        <f>(B4-B6)/B4</f>
        <v>7.0920247375506695E-5</v>
      </c>
      <c r="E7" s="244">
        <v>100246.23400904</v>
      </c>
      <c r="F7" s="244">
        <v>3565.8425818134601</v>
      </c>
      <c r="G7" s="244">
        <v>430035.53616177198</v>
      </c>
      <c r="H7" s="244">
        <v>101110.06716989601</v>
      </c>
      <c r="I7">
        <v>1.0142012054440599</v>
      </c>
      <c r="J7">
        <v>4.3003357157958702</v>
      </c>
      <c r="K7">
        <v>8.5122293895974095E-3</v>
      </c>
      <c r="L7" s="245">
        <v>3.6109697204069799E-2</v>
      </c>
      <c r="M7" s="225"/>
      <c r="N7" s="242" t="s">
        <v>172</v>
      </c>
      <c r="O7">
        <v>1.0142012054440599</v>
      </c>
      <c r="P7">
        <v>4.3003357157958702</v>
      </c>
      <c r="Q7">
        <v>8.5122293895974095E-3</v>
      </c>
      <c r="R7" s="245">
        <v>3.6109697204069799E-2</v>
      </c>
    </row>
    <row r="8" spans="1:18">
      <c r="B8" s="275">
        <f>(B6-B49)/B4</f>
        <v>5.6247360639985165E-3</v>
      </c>
      <c r="C8" s="184"/>
      <c r="E8" s="244">
        <v>99629.894176207497</v>
      </c>
      <c r="F8" s="244">
        <v>3683.32305627303</v>
      </c>
      <c r="G8" s="244">
        <v>423920.53967691102</v>
      </c>
      <c r="H8" s="244">
        <v>101166.100540342</v>
      </c>
      <c r="I8">
        <v>1.00676476102794</v>
      </c>
      <c r="J8"/>
      <c r="K8">
        <v>8.4200300256739007E-3</v>
      </c>
      <c r="L8" s="245">
        <v>3.6174536911217497E-2</v>
      </c>
      <c r="M8" s="243" t="s">
        <v>169</v>
      </c>
      <c r="N8" s="244">
        <v>1</v>
      </c>
      <c r="O8">
        <v>1.00676476102794</v>
      </c>
      <c r="P8"/>
      <c r="Q8">
        <v>8.4200300256739007E-3</v>
      </c>
      <c r="R8" s="245">
        <v>3.6174536911217497E-2</v>
      </c>
    </row>
    <row r="9" spans="1:18">
      <c r="A9" s="225" t="s">
        <v>191</v>
      </c>
      <c r="B9" s="259">
        <f>J23</f>
        <v>4.323915669843041</v>
      </c>
      <c r="C9" s="277">
        <f>J26</f>
        <v>2.8622622797724432E-2</v>
      </c>
      <c r="D9" s="268">
        <f>C9/B9</f>
        <v>6.6196070837716958E-3</v>
      </c>
      <c r="E9" s="244">
        <v>100549.739825604</v>
      </c>
      <c r="F9" s="244">
        <v>3512.33679193231</v>
      </c>
      <c r="G9" s="244">
        <v>424723.8227738</v>
      </c>
      <c r="H9" s="244">
        <v>100797.216310192</v>
      </c>
      <c r="I9">
        <v>1.0023157348687</v>
      </c>
      <c r="J9"/>
      <c r="K9">
        <v>8.4060946772070398E-3</v>
      </c>
      <c r="L9" s="245">
        <v>3.5272398751193E-2</v>
      </c>
      <c r="M9" s="243" t="s">
        <v>170</v>
      </c>
      <c r="N9" s="244">
        <v>44</v>
      </c>
      <c r="O9">
        <v>1.0023157348687</v>
      </c>
      <c r="P9"/>
      <c r="Q9">
        <v>8.4060946772070398E-3</v>
      </c>
      <c r="R9" s="245">
        <v>3.5272398751193E-2</v>
      </c>
    </row>
    <row r="10" spans="1:18">
      <c r="A10" s="225" t="s">
        <v>192</v>
      </c>
      <c r="B10" s="260">
        <f>K23</f>
        <v>8.3721862472246854E-3</v>
      </c>
      <c r="C10" s="277">
        <f>K26</f>
        <v>5.0442706895153235E-5</v>
      </c>
      <c r="D10" s="267">
        <f>C10/B10</f>
        <v>6.0250340120986436E-3</v>
      </c>
      <c r="E10" s="244">
        <v>100629.118829648</v>
      </c>
      <c r="F10" s="244">
        <v>3620.51165014253</v>
      </c>
      <c r="G10" s="244">
        <v>429024.15168551001</v>
      </c>
      <c r="H10" s="244">
        <v>101282.83710018601</v>
      </c>
      <c r="I10">
        <v>1.01195513996158</v>
      </c>
      <c r="J10">
        <v>4.2788600119434204</v>
      </c>
      <c r="K10">
        <v>8.4369328682999505E-3</v>
      </c>
      <c r="L10" s="245">
        <v>3.6066599416879501E-2</v>
      </c>
      <c r="M10" s="225"/>
      <c r="N10" s="242" t="s">
        <v>173</v>
      </c>
      <c r="O10">
        <v>1.01195513996158</v>
      </c>
      <c r="P10">
        <v>4.2788600119434204</v>
      </c>
      <c r="Q10">
        <v>8.4369328682999505E-3</v>
      </c>
      <c r="R10" s="245">
        <v>3.6066599416879501E-2</v>
      </c>
    </row>
    <row r="11" spans="1:18">
      <c r="A11" s="290"/>
      <c r="C11" s="184"/>
      <c r="E11" s="244">
        <v>99905.377675245996</v>
      </c>
      <c r="F11" s="244">
        <v>3594.9218597495301</v>
      </c>
      <c r="G11" s="244">
        <v>423637.03363622201</v>
      </c>
      <c r="H11" s="244">
        <v>100418.9984425</v>
      </c>
      <c r="I11">
        <v>1.0019850862634001</v>
      </c>
      <c r="J11"/>
      <c r="K11">
        <v>8.2887151338072399E-3</v>
      </c>
      <c r="L11" s="245">
        <v>3.5412463620205503E-2</v>
      </c>
      <c r="M11" s="243" t="s">
        <v>169</v>
      </c>
      <c r="N11" s="244">
        <v>0</v>
      </c>
      <c r="O11">
        <v>1.0019850862634001</v>
      </c>
      <c r="P11"/>
      <c r="Q11">
        <v>8.2887151338072399E-3</v>
      </c>
      <c r="R11" s="245">
        <v>3.5412463620205503E-2</v>
      </c>
    </row>
    <row r="12" spans="1:18">
      <c r="A12" s="225" t="s">
        <v>179</v>
      </c>
      <c r="B12" s="225">
        <f>B9*(B7/B6)^(LN(B38/B40)/LN(B37/B40))</f>
        <v>4.3076480681392129</v>
      </c>
      <c r="C12" s="284">
        <f>B12*SQRT(D9^2+(2*D6/3)^2)</f>
        <v>3.209605486363061E-2</v>
      </c>
      <c r="D12" s="285">
        <f>C12/B12</f>
        <v>7.4509463995036246E-3</v>
      </c>
      <c r="E12" s="244">
        <v>100278.919087809</v>
      </c>
      <c r="F12" s="244">
        <v>3450.6889476021702</v>
      </c>
      <c r="G12" s="244">
        <v>419998.96731505502</v>
      </c>
      <c r="H12" s="244">
        <v>100559.078519916</v>
      </c>
      <c r="I12">
        <v>1.01152058566472</v>
      </c>
      <c r="J12"/>
      <c r="K12">
        <v>8.4373266886840406E-3</v>
      </c>
      <c r="L12" s="245">
        <v>3.5113507364104499E-2</v>
      </c>
      <c r="M12" s="243" t="s">
        <v>170</v>
      </c>
      <c r="N12" s="244">
        <v>33</v>
      </c>
      <c r="O12">
        <v>1.01152058566472</v>
      </c>
      <c r="P12"/>
      <c r="Q12">
        <v>8.4373266886840406E-3</v>
      </c>
      <c r="R12" s="245">
        <v>3.5113507364104499E-2</v>
      </c>
    </row>
    <row r="13" spans="1:18">
      <c r="A13" s="225" t="s">
        <v>180</v>
      </c>
      <c r="B13" s="261">
        <f>B10*(B7/B6)^(LN(B39/B38)/LN(B37/B40))</f>
        <v>8.3879591457911296E-3</v>
      </c>
      <c r="C13" s="276">
        <f>B13*SQRT(D10^2+(D6/3)^2)</f>
        <v>5.2533933391136734E-5</v>
      </c>
      <c r="D13" s="285">
        <f>C13/B13</f>
        <v>6.2630173178057219E-3</v>
      </c>
      <c r="E13" s="244">
        <v>99190.994036787495</v>
      </c>
      <c r="F13" s="244">
        <v>3585.6164874153501</v>
      </c>
      <c r="G13" s="244">
        <v>418298.21943345398</v>
      </c>
      <c r="H13" s="244">
        <v>99695.262889136793</v>
      </c>
      <c r="I13">
        <v>1.00919315189184</v>
      </c>
      <c r="J13">
        <v>4.25540249746975</v>
      </c>
      <c r="K13">
        <v>8.4104887777207305E-3</v>
      </c>
      <c r="L13" s="245">
        <v>3.6104017026324903E-2</v>
      </c>
      <c r="M13" s="225"/>
      <c r="N13" s="245"/>
      <c r="O13">
        <v>1.00919315189184</v>
      </c>
      <c r="P13">
        <v>4.25540249746975</v>
      </c>
      <c r="Q13">
        <v>8.4104887777207305E-3</v>
      </c>
      <c r="R13" s="245">
        <v>3.6104017026324903E-2</v>
      </c>
    </row>
    <row r="14" spans="1:18">
      <c r="A14" s="225" t="s">
        <v>193</v>
      </c>
      <c r="B14" s="261">
        <f>B13*(1-B25*B29/B13)</f>
        <v>8.3838242457911303E-3</v>
      </c>
      <c r="C14" s="286">
        <f>B14*SQRT(D13^2+((B25*B29/B13)*SQRT(D25^2+C29^2+D13^2)/(1-B25*B29/B13))^2)</f>
        <v>5.2522693464676744E-5</v>
      </c>
      <c r="D14" s="285">
        <f>C14/B14</f>
        <v>6.2647655681766379E-3</v>
      </c>
      <c r="E14" s="244">
        <v>98938.863122833602</v>
      </c>
      <c r="F14" s="244">
        <v>3554.21087937524</v>
      </c>
      <c r="G14" s="244">
        <v>434355.60918375303</v>
      </c>
      <c r="H14" s="244">
        <v>101282.83710018601</v>
      </c>
      <c r="I14">
        <v>1.02756913087875</v>
      </c>
      <c r="J14"/>
      <c r="K14">
        <v>8.4384169459001505E-3</v>
      </c>
      <c r="L14" s="245">
        <v>3.6645262344847197E-2</v>
      </c>
      <c r="N14" s="245"/>
      <c r="O14">
        <v>1.02756913087875</v>
      </c>
      <c r="P14"/>
      <c r="Q14">
        <v>8.4384169459001505E-3</v>
      </c>
      <c r="R14" s="245">
        <v>3.6645262344847197E-2</v>
      </c>
    </row>
    <row r="15" spans="1:18">
      <c r="A15" s="290"/>
      <c r="B15" s="275">
        <f>(B13-B14)/B13</f>
        <v>4.9295662128660367E-4</v>
      </c>
      <c r="C15" s="184"/>
      <c r="E15" s="244">
        <v>98672.727476051703</v>
      </c>
      <c r="F15" s="244">
        <v>3748.4609645368701</v>
      </c>
      <c r="G15" s="244">
        <v>439650.28460690199</v>
      </c>
      <c r="H15" s="244">
        <v>102515.605808129</v>
      </c>
      <c r="I15">
        <v>1.02325776442617</v>
      </c>
      <c r="J15">
        <v>4.3957729326394102</v>
      </c>
      <c r="K15">
        <v>8.3053160467089406E-3</v>
      </c>
      <c r="L15" s="245">
        <v>3.7080344085441197E-2</v>
      </c>
      <c r="N15" s="245"/>
      <c r="O15">
        <v>1.02325776442617</v>
      </c>
      <c r="P15">
        <v>4.3957729326394102</v>
      </c>
      <c r="Q15">
        <v>8.3053160467089406E-3</v>
      </c>
      <c r="R15" s="245">
        <v>3.7080344085441197E-2</v>
      </c>
    </row>
    <row r="16" spans="1:18">
      <c r="A16" s="225" t="s">
        <v>182</v>
      </c>
      <c r="B16" s="299">
        <f>B12</f>
        <v>4.3076480681392129</v>
      </c>
      <c r="C16" s="300">
        <f>C12</f>
        <v>3.209605486363061E-2</v>
      </c>
      <c r="D16" s="271"/>
      <c r="E16" s="244">
        <v>100433.00641771901</v>
      </c>
      <c r="F16" s="244">
        <v>3610.0430966068202</v>
      </c>
      <c r="G16" s="244">
        <v>441976.48431216599</v>
      </c>
      <c r="H16" s="244">
        <v>102921.871394598</v>
      </c>
      <c r="I16">
        <v>1.0301693889391701</v>
      </c>
      <c r="J16"/>
      <c r="K16"/>
      <c r="L16" s="245">
        <v>3.5903550603631498E-2</v>
      </c>
      <c r="N16" s="245"/>
      <c r="O16">
        <v>1.0301693889391701</v>
      </c>
      <c r="P16"/>
      <c r="Q16"/>
      <c r="R16" s="245">
        <v>3.5903550603631498E-2</v>
      </c>
    </row>
    <row r="17" spans="1:18">
      <c r="A17" s="225" t="s">
        <v>183</v>
      </c>
      <c r="B17" s="262">
        <f>B14</f>
        <v>8.3838242457911303E-3</v>
      </c>
      <c r="C17" s="287">
        <f>B17*SQRT((SQRT(D10^2+(B25*B29/B13*SQRT(C29^2+D10^2)/(1-B25*B29/B13))^2))^2+(D6/3)^2)</f>
        <v>5.2522692974995132E-5</v>
      </c>
      <c r="D17" s="285"/>
      <c r="E17" s="244">
        <v>99826.000787157303</v>
      </c>
      <c r="F17" s="244">
        <v>3554.21087937524</v>
      </c>
      <c r="G17" s="244">
        <v>436416.62870755</v>
      </c>
      <c r="H17" s="244">
        <v>102814.467257645</v>
      </c>
      <c r="I17">
        <v>1.01274256081563</v>
      </c>
      <c r="J17">
        <v>4.3082284830415603</v>
      </c>
      <c r="K17">
        <v>8.1696704949781301E-3</v>
      </c>
      <c r="L17" s="245">
        <v>3.5229471301902203E-2</v>
      </c>
      <c r="N17" s="245"/>
      <c r="O17">
        <v>1.01274256081563</v>
      </c>
      <c r="P17">
        <v>4.3082284830415603</v>
      </c>
      <c r="Q17">
        <v>8.1696704949781301E-3</v>
      </c>
      <c r="R17" s="245">
        <v>3.5229471301902203E-2</v>
      </c>
    </row>
    <row r="18" spans="1:18">
      <c r="A18" s="225" t="s">
        <v>154</v>
      </c>
      <c r="B18" s="236">
        <f>E24</f>
        <v>16</v>
      </c>
      <c r="C18" s="278">
        <f>K24</f>
        <v>14</v>
      </c>
      <c r="D18" s="184"/>
      <c r="E18" s="272"/>
      <c r="F18" s="244"/>
      <c r="G18" s="244"/>
      <c r="H18" s="244"/>
      <c r="I18"/>
      <c r="J18"/>
      <c r="K18"/>
      <c r="L18" s="245"/>
      <c r="N18" s="245"/>
      <c r="O18"/>
      <c r="P18"/>
      <c r="Q18"/>
      <c r="R18" s="245"/>
    </row>
    <row r="19" spans="1:18">
      <c r="A19" s="225" t="s">
        <v>155</v>
      </c>
      <c r="B19" s="237">
        <f>E23</f>
        <v>99420.963786439694</v>
      </c>
      <c r="C19" s="279"/>
      <c r="D19" s="184"/>
      <c r="E19" s="244"/>
      <c r="F19" s="244"/>
      <c r="G19" s="244"/>
      <c r="H19" s="244"/>
      <c r="I19"/>
      <c r="J19"/>
      <c r="K19"/>
      <c r="L19" s="245"/>
      <c r="N19" s="245"/>
      <c r="O19"/>
      <c r="P19"/>
      <c r="Q19"/>
      <c r="R19" s="245"/>
    </row>
    <row r="20" spans="1:18">
      <c r="A20" s="290"/>
      <c r="C20" s="184"/>
      <c r="D20" s="184"/>
      <c r="E20" s="244"/>
      <c r="F20" s="244"/>
      <c r="G20" s="244"/>
      <c r="H20" s="244"/>
      <c r="I20"/>
      <c r="J20"/>
      <c r="K20"/>
      <c r="L20" s="245"/>
      <c r="N20" s="245"/>
      <c r="O20"/>
      <c r="P20"/>
      <c r="Q20"/>
      <c r="R20" s="245"/>
    </row>
    <row r="21" spans="1:18">
      <c r="A21" s="225" t="s">
        <v>156</v>
      </c>
      <c r="B21" s="294">
        <v>1.0489999999999999</v>
      </c>
      <c r="C21" s="184"/>
      <c r="D21" s="184"/>
      <c r="E21" s="244"/>
      <c r="F21" s="244"/>
      <c r="G21" s="244"/>
      <c r="H21" s="244"/>
      <c r="I21"/>
      <c r="J21"/>
      <c r="K21"/>
      <c r="L21" s="245"/>
      <c r="N21" s="245"/>
      <c r="O21"/>
      <c r="P21"/>
      <c r="Q21"/>
      <c r="R21" s="245"/>
    </row>
    <row r="22" spans="1:18">
      <c r="A22" s="225" t="s">
        <v>157</v>
      </c>
      <c r="B22" s="226">
        <f>2/(F23*B18*B21)^0.5</f>
        <v>8.1392406178399553E-3</v>
      </c>
      <c r="C22" s="184"/>
      <c r="D22" s="184"/>
      <c r="E22" s="244"/>
      <c r="F22" s="244"/>
      <c r="G22" s="244"/>
      <c r="H22" s="244"/>
      <c r="I22"/>
      <c r="J22"/>
      <c r="K22"/>
      <c r="L22"/>
      <c r="N22" s="245"/>
      <c r="O22"/>
      <c r="P22"/>
      <c r="Q22"/>
      <c r="R22"/>
    </row>
    <row r="23" spans="1:18">
      <c r="A23" s="225" t="s">
        <v>201</v>
      </c>
      <c r="B23" s="301">
        <v>0.01</v>
      </c>
      <c r="C23" s="184"/>
      <c r="D23" s="184"/>
      <c r="E23" s="273">
        <f>AVERAGE(E2:E22)</f>
        <v>99420.963786439694</v>
      </c>
      <c r="F23" s="273">
        <f t="shared" ref="F23:L23" si="0">AVERAGE(F2:F22)</f>
        <v>3597.4663913288205</v>
      </c>
      <c r="G23" s="273">
        <f t="shared" si="0"/>
        <v>428845.93923366861</v>
      </c>
      <c r="H23" s="273">
        <f t="shared" si="0"/>
        <v>100949.8718421596</v>
      </c>
      <c r="I23" s="270">
        <f t="shared" si="0"/>
        <v>1.0141743887581642</v>
      </c>
      <c r="J23" s="269">
        <f t="shared" si="0"/>
        <v>4.323915669843041</v>
      </c>
      <c r="K23" s="274">
        <f t="shared" si="0"/>
        <v>8.3721862472246854E-3</v>
      </c>
      <c r="L23" s="248">
        <f t="shared" si="0"/>
        <v>3.6121405502944529E-2</v>
      </c>
      <c r="N23" s="248"/>
      <c r="O23" s="270">
        <f>AVERAGE(O2:O22)</f>
        <v>1.0141743887581642</v>
      </c>
      <c r="P23" s="269">
        <f>AVERAGE(P2:P22)</f>
        <v>4.323915669843041</v>
      </c>
      <c r="Q23" s="274">
        <f>AVERAGE(Q2:Q22)</f>
        <v>8.3721862472246854E-3</v>
      </c>
      <c r="R23" s="248">
        <f>AVERAGE(R2:R22)</f>
        <v>3.6121405502944529E-2</v>
      </c>
    </row>
    <row r="24" spans="1:18">
      <c r="A24" s="225" t="s">
        <v>184</v>
      </c>
      <c r="B24" s="283">
        <f>L23*(B7/B6)^(LN(B39/B40)/LN(B37/B40))</f>
        <v>3.6053303569516464E-2</v>
      </c>
      <c r="C24" s="281">
        <f>L26</f>
        <v>3.3649733477016162E-4</v>
      </c>
      <c r="D24" s="271">
        <f>C24/B24</f>
        <v>9.33332875089634E-3</v>
      </c>
      <c r="E24" s="219">
        <f t="shared" ref="E24:L24" si="1">COUNT(E2:E22)</f>
        <v>16</v>
      </c>
      <c r="F24" s="219">
        <f t="shared" si="1"/>
        <v>16</v>
      </c>
      <c r="G24" s="219">
        <f t="shared" si="1"/>
        <v>16</v>
      </c>
      <c r="H24" s="219">
        <f t="shared" si="1"/>
        <v>16</v>
      </c>
      <c r="I24" s="219">
        <f t="shared" si="1"/>
        <v>16</v>
      </c>
      <c r="J24" s="219">
        <f t="shared" si="1"/>
        <v>10</v>
      </c>
      <c r="K24" s="219">
        <f>COUNT(K2:K22)</f>
        <v>14</v>
      </c>
      <c r="L24" s="219">
        <f t="shared" si="1"/>
        <v>16</v>
      </c>
      <c r="N24" s="219"/>
      <c r="O24" s="219">
        <f>COUNT(O2:O22)</f>
        <v>16</v>
      </c>
      <c r="P24" s="219">
        <f>COUNT(P2:P22)</f>
        <v>10</v>
      </c>
      <c r="Q24" s="219">
        <f>COUNT(Q2:Q22)</f>
        <v>14</v>
      </c>
      <c r="R24" s="219">
        <f>COUNT(R2:R22)</f>
        <v>16</v>
      </c>
    </row>
    <row r="25" spans="1:18">
      <c r="A25" s="225" t="s">
        <v>190</v>
      </c>
      <c r="B25" s="223">
        <v>137.83000000000001</v>
      </c>
      <c r="C25" s="282">
        <v>0.04</v>
      </c>
      <c r="D25" s="271">
        <f>C25/B25</f>
        <v>2.9021258071537399E-4</v>
      </c>
      <c r="E25" s="219">
        <f t="shared" ref="E25:L25" si="2">STDEV(E2:E22)</f>
        <v>931.35604310225312</v>
      </c>
      <c r="F25" s="219">
        <f t="shared" si="2"/>
        <v>73.436886517852784</v>
      </c>
      <c r="G25" s="219">
        <f t="shared" si="2"/>
        <v>6761.4471733337323</v>
      </c>
      <c r="H25" s="219">
        <f t="shared" si="2"/>
        <v>1190.1062226594108</v>
      </c>
      <c r="I25" s="219">
        <f t="shared" si="2"/>
        <v>1.0405786403539162E-2</v>
      </c>
      <c r="J25" s="219">
        <f t="shared" si="2"/>
        <v>4.5256340324335065E-2</v>
      </c>
      <c r="K25" s="219">
        <f t="shared" si="2"/>
        <v>9.4369663431561468E-5</v>
      </c>
      <c r="L25" s="219">
        <f t="shared" si="2"/>
        <v>6.7299466954032325E-4</v>
      </c>
      <c r="N25" s="219"/>
      <c r="O25" s="219">
        <f>STDEV(O2:O22)</f>
        <v>1.0405786403539162E-2</v>
      </c>
      <c r="P25" s="219">
        <f>STDEV(P2:P22)</f>
        <v>4.5256340324335065E-2</v>
      </c>
      <c r="Q25" s="219">
        <f>STDEV(Q2:Q22)</f>
        <v>9.4369663431561468E-5</v>
      </c>
      <c r="R25" s="219">
        <f>STDEV(R2:R22)</f>
        <v>6.7299466954032325E-4</v>
      </c>
    </row>
    <row r="26" spans="1:18" ht="15.75">
      <c r="A26" s="246" t="s">
        <v>174</v>
      </c>
      <c r="B26" s="302">
        <f>((((((B14*(1-B23/(B19*B16*B14)))/B25)*(1-B52/B24))/(1-B51/B16))*(B45/B46))-1)*1000</f>
        <v>33.785728441533266</v>
      </c>
      <c r="C26" s="247">
        <f>C17*((1/B25)*(B45/B46))*(1-B52/B24)/(1-B51/B16)*1000</f>
        <v>6.4764432135262249</v>
      </c>
      <c r="E26" s="219">
        <f t="shared" ref="E26:L26" si="3">2*(E25/(E24^0.5))</f>
        <v>465.67802155112656</v>
      </c>
      <c r="F26" s="219">
        <f t="shared" si="3"/>
        <v>36.718443258926392</v>
      </c>
      <c r="G26" s="219">
        <f t="shared" si="3"/>
        <v>3380.7235866668661</v>
      </c>
      <c r="H26" s="219">
        <f t="shared" si="3"/>
        <v>595.05311132970542</v>
      </c>
      <c r="I26" s="219">
        <f t="shared" si="3"/>
        <v>5.2028932017695812E-3</v>
      </c>
      <c r="J26" s="219">
        <f t="shared" si="3"/>
        <v>2.8622622797724432E-2</v>
      </c>
      <c r="K26" s="219">
        <f>2*(K25/(K24^0.5))</f>
        <v>5.0442706895153235E-5</v>
      </c>
      <c r="L26" s="219">
        <f t="shared" si="3"/>
        <v>3.3649733477016162E-4</v>
      </c>
      <c r="N26" s="219"/>
      <c r="O26" s="219">
        <f t="shared" ref="O26:R26" si="4">2*(O25/(O24^0.5))</f>
        <v>5.2028932017695812E-3</v>
      </c>
      <c r="P26" s="219">
        <f t="shared" si="4"/>
        <v>2.8622622797724432E-2</v>
      </c>
      <c r="Q26" s="219">
        <f t="shared" si="4"/>
        <v>5.0442706895153235E-5</v>
      </c>
      <c r="R26" s="219">
        <f t="shared" si="4"/>
        <v>3.3649733477016162E-4</v>
      </c>
    </row>
    <row r="27" spans="1:18">
      <c r="A27" s="225" t="s">
        <v>199</v>
      </c>
      <c r="B27" s="412">
        <v>5.9999999999999997E-7</v>
      </c>
      <c r="C27" s="184"/>
      <c r="E27" s="249">
        <f t="shared" ref="E27:L27" si="5">E26/E23</f>
        <v>4.6839017025767527E-3</v>
      </c>
      <c r="F27" s="249">
        <f t="shared" si="5"/>
        <v>1.0206750880961936E-2</v>
      </c>
      <c r="G27" s="249">
        <f t="shared" si="5"/>
        <v>7.8833055822053275E-3</v>
      </c>
      <c r="H27" s="249">
        <f t="shared" si="5"/>
        <v>5.8945405325536429E-3</v>
      </c>
      <c r="I27" s="249">
        <f t="shared" si="5"/>
        <v>5.130176091451508E-3</v>
      </c>
      <c r="J27" s="249">
        <f t="shared" si="5"/>
        <v>6.6196070837716958E-3</v>
      </c>
      <c r="K27" s="249">
        <f>K26/K23</f>
        <v>6.0250340120986436E-3</v>
      </c>
      <c r="L27" s="249">
        <f t="shared" si="5"/>
        <v>9.3157320454413436E-3</v>
      </c>
      <c r="N27" s="249"/>
      <c r="O27" s="249">
        <f t="shared" ref="O27:R27" si="6">O26/O23</f>
        <v>5.130176091451508E-3</v>
      </c>
      <c r="P27" s="249">
        <f t="shared" si="6"/>
        <v>6.6196070837716958E-3</v>
      </c>
      <c r="Q27" s="249">
        <f t="shared" si="6"/>
        <v>6.0250340120986436E-3</v>
      </c>
      <c r="R27" s="249">
        <f t="shared" si="6"/>
        <v>9.3157320454413436E-3</v>
      </c>
    </row>
    <row r="28" spans="1:18">
      <c r="A28" s="225" t="s">
        <v>196</v>
      </c>
      <c r="B28" s="293">
        <f>B27/5</f>
        <v>1.1999999999999999E-7</v>
      </c>
      <c r="C28" s="280">
        <v>0.3</v>
      </c>
    </row>
    <row r="29" spans="1:18">
      <c r="A29" s="225" t="s">
        <v>197</v>
      </c>
      <c r="B29" s="293">
        <f>B28/4</f>
        <v>2.9999999999999997E-8</v>
      </c>
      <c r="C29" s="280">
        <v>0.3</v>
      </c>
    </row>
    <row r="35" spans="1:2">
      <c r="A35" s="252" t="s">
        <v>144</v>
      </c>
      <c r="B35" s="253"/>
    </row>
    <row r="36" spans="1:2">
      <c r="A36" s="254" t="s">
        <v>145</v>
      </c>
      <c r="B36" s="255">
        <v>238.05078499999999</v>
      </c>
    </row>
    <row r="37" spans="1:2">
      <c r="A37" s="254" t="s">
        <v>147</v>
      </c>
      <c r="B37" s="255">
        <v>236.04556299999999</v>
      </c>
    </row>
    <row r="38" spans="1:2">
      <c r="A38" s="254" t="s">
        <v>148</v>
      </c>
      <c r="B38" s="255">
        <v>235.043924</v>
      </c>
    </row>
    <row r="39" spans="1:2">
      <c r="A39" s="254" t="s">
        <v>149</v>
      </c>
      <c r="B39" s="255">
        <v>234.04094699999999</v>
      </c>
    </row>
    <row r="40" spans="1:2">
      <c r="A40" s="254" t="s">
        <v>150</v>
      </c>
      <c r="B40" s="255">
        <v>233.03962899999999</v>
      </c>
    </row>
    <row r="42" spans="1:2">
      <c r="A42" s="225"/>
      <c r="B42" s="223" t="s">
        <v>189</v>
      </c>
    </row>
    <row r="43" spans="1:2">
      <c r="A43" s="264" t="s">
        <v>185</v>
      </c>
      <c r="B43">
        <v>9.170520780000001E-6</v>
      </c>
    </row>
    <row r="44" spans="1:2">
      <c r="A44" s="264" t="s">
        <v>186</v>
      </c>
      <c r="B44">
        <v>4.9475000000000002E-11</v>
      </c>
    </row>
    <row r="45" spans="1:2">
      <c r="A45" s="264" t="s">
        <v>187</v>
      </c>
      <c r="B45">
        <v>2.8220605500000003E-6</v>
      </c>
    </row>
    <row r="46" spans="1:2">
      <c r="A46" s="264" t="s">
        <v>188</v>
      </c>
      <c r="B46">
        <v>1.5512499999999999E-10</v>
      </c>
    </row>
    <row r="48" spans="1:2">
      <c r="A48" s="394" t="s">
        <v>146</v>
      </c>
      <c r="B48" s="265"/>
    </row>
    <row r="49" spans="1:2">
      <c r="A49" s="393" t="s">
        <v>239</v>
      </c>
      <c r="B49" s="304">
        <v>1.0083979999999999</v>
      </c>
    </row>
    <row r="50" spans="1:2">
      <c r="A50" s="393" t="s">
        <v>240</v>
      </c>
      <c r="B50" s="304">
        <v>1.6802153628327297E-2</v>
      </c>
    </row>
    <row r="51" spans="1:2">
      <c r="A51" s="393" t="s">
        <v>241</v>
      </c>
      <c r="B51" s="304">
        <v>0.10532139153895437</v>
      </c>
    </row>
    <row r="52" spans="1:2">
      <c r="A52" s="393" t="s">
        <v>242</v>
      </c>
      <c r="B52" s="304">
        <v>3.1951268933333695E-3</v>
      </c>
    </row>
  </sheetData>
  <phoneticPr fontId="89" type="noConversion"/>
  <pageMargins left="0.75" right="0.75" top="1" bottom="1" header="0.5" footer="0.5"/>
  <pageSetup orientation="portrait" horizontalDpi="4294967292" verticalDpi="4294967292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R1006"/>
  <sheetViews>
    <sheetView zoomScale="90" zoomScaleNormal="90" zoomScalePageLayoutView="90" workbookViewId="0">
      <selection activeCell="B4" sqref="B4:C5"/>
    </sheetView>
  </sheetViews>
  <sheetFormatPr baseColWidth="10" defaultColWidth="8.75" defaultRowHeight="12.75"/>
  <cols>
    <col min="1" max="1" width="14.25" customWidth="1"/>
    <col min="2" max="2" width="12.25" customWidth="1"/>
    <col min="3" max="3" width="9.75" customWidth="1"/>
    <col min="4" max="4" width="9.25" customWidth="1"/>
    <col min="5" max="8" width="9" style="184" customWidth="1"/>
    <col min="9" max="12" width="14.25" style="184" bestFit="1" customWidth="1"/>
    <col min="14" max="14" width="11.25" style="184" customWidth="1"/>
    <col min="15" max="18" width="14.25" style="184" bestFit="1" customWidth="1"/>
  </cols>
  <sheetData>
    <row r="1" spans="1:18">
      <c r="A1" s="295">
        <v>42601</v>
      </c>
      <c r="B1" s="225" t="s">
        <v>181</v>
      </c>
      <c r="E1" s="242" t="s">
        <v>150</v>
      </c>
      <c r="F1" s="242" t="s">
        <v>149</v>
      </c>
      <c r="G1" s="242" t="s">
        <v>148</v>
      </c>
      <c r="H1" s="242" t="s">
        <v>147</v>
      </c>
      <c r="I1" s="242" t="s">
        <v>164</v>
      </c>
      <c r="J1" s="242" t="s">
        <v>165</v>
      </c>
      <c r="K1" s="242" t="s">
        <v>166</v>
      </c>
      <c r="L1" s="242" t="s">
        <v>167</v>
      </c>
      <c r="N1" s="242" t="s">
        <v>168</v>
      </c>
      <c r="O1" s="242" t="s">
        <v>164</v>
      </c>
      <c r="P1" s="242" t="s">
        <v>165</v>
      </c>
      <c r="Q1" s="242" t="s">
        <v>166</v>
      </c>
      <c r="R1" s="242" t="s">
        <v>167</v>
      </c>
    </row>
    <row r="2" spans="1:18">
      <c r="E2" s="244">
        <v>42594.584637772001</v>
      </c>
      <c r="F2" s="244">
        <v>3282.5786755721901</v>
      </c>
      <c r="G2" s="244">
        <v>424923.27822403301</v>
      </c>
      <c r="H2" s="244">
        <v>41497.464476898997</v>
      </c>
      <c r="I2">
        <v>1.01952310793583</v>
      </c>
      <c r="J2">
        <v>10.394792252600499</v>
      </c>
      <c r="K2">
        <v>7.6974614131868702E-3</v>
      </c>
      <c r="L2" s="245">
        <v>7.9530595581590105E-2</v>
      </c>
      <c r="M2" s="243" t="s">
        <v>169</v>
      </c>
      <c r="N2" s="244">
        <v>1</v>
      </c>
      <c r="O2">
        <v>1.01952310793583</v>
      </c>
      <c r="P2">
        <v>10.394792252600499</v>
      </c>
      <c r="Q2">
        <v>7.6974614131868702E-3</v>
      </c>
      <c r="R2" s="245">
        <v>7.9530595581590105E-2</v>
      </c>
    </row>
    <row r="3" spans="1:18">
      <c r="B3" s="224" t="s">
        <v>152</v>
      </c>
      <c r="C3" s="224" t="s">
        <v>153</v>
      </c>
      <c r="E3" s="244">
        <v>40488.543021822203</v>
      </c>
      <c r="F3" s="244">
        <v>3263.01387817667</v>
      </c>
      <c r="G3" s="244">
        <v>424546.02791951201</v>
      </c>
      <c r="H3" s="244">
        <v>41742.353709909003</v>
      </c>
      <c r="I3">
        <v>1.0371981089561799</v>
      </c>
      <c r="J3">
        <v>10.538237248538399</v>
      </c>
      <c r="K3">
        <v>7.6228300808123496E-3</v>
      </c>
      <c r="L3" s="245">
        <v>8.0562477508004604E-2</v>
      </c>
      <c r="M3" s="243" t="s">
        <v>170</v>
      </c>
      <c r="N3" s="244">
        <v>44</v>
      </c>
      <c r="O3">
        <v>1.0371981089561799</v>
      </c>
      <c r="P3">
        <v>10.538237248538399</v>
      </c>
      <c r="Q3">
        <v>7.6228300808123496E-3</v>
      </c>
      <c r="R3" s="245">
        <v>8.0562477508004604E-2</v>
      </c>
    </row>
    <row r="4" spans="1:18">
      <c r="A4" s="225" t="s">
        <v>198</v>
      </c>
      <c r="B4" s="291">
        <f>I1002</f>
        <v>1.0157245940789277</v>
      </c>
      <c r="C4" s="292">
        <f>I1005</f>
        <v>6.702134207579492E-3</v>
      </c>
      <c r="D4" s="267">
        <f>C4/B4</f>
        <v>6.5983774013634814E-3</v>
      </c>
      <c r="E4" s="244">
        <v>40175.098965105397</v>
      </c>
      <c r="F4" s="244">
        <v>3209.2107546123402</v>
      </c>
      <c r="G4" s="244">
        <v>421409.08585590502</v>
      </c>
      <c r="H4" s="244">
        <v>41433.793620858203</v>
      </c>
      <c r="I4">
        <v>1.0052902426047201</v>
      </c>
      <c r="J4">
        <v>10.237420985220901</v>
      </c>
      <c r="K4">
        <v>7.6970413735409698E-3</v>
      </c>
      <c r="L4" s="245">
        <v>7.8775538107421994E-2</v>
      </c>
      <c r="M4" s="225"/>
      <c r="N4" s="242" t="s">
        <v>171</v>
      </c>
      <c r="O4">
        <v>1.0052902426047201</v>
      </c>
      <c r="P4">
        <v>10.237420985220901</v>
      </c>
      <c r="Q4">
        <v>7.6970413735409698E-3</v>
      </c>
      <c r="R4" s="245">
        <v>7.8775538107421994E-2</v>
      </c>
    </row>
    <row r="5" spans="1:18">
      <c r="B5" s="298">
        <f>B16</f>
        <v>10.199948016211481</v>
      </c>
      <c r="C5" s="298">
        <f>C16</f>
        <v>8.3645939740827166E-2</v>
      </c>
      <c r="E5" s="244">
        <v>41512.157771562801</v>
      </c>
      <c r="F5" s="244">
        <v>3286.2470765795301</v>
      </c>
      <c r="G5" s="244">
        <v>427325.88334754499</v>
      </c>
      <c r="H5" s="244">
        <v>42682.747911846098</v>
      </c>
      <c r="I5" s="245">
        <v>1.0160269358396701</v>
      </c>
      <c r="J5">
        <v>10.189135610172</v>
      </c>
      <c r="K5">
        <v>7.7381507164082002E-3</v>
      </c>
      <c r="L5" s="245">
        <v>7.8766787188686196E-2</v>
      </c>
      <c r="M5" s="243" t="s">
        <v>169</v>
      </c>
      <c r="N5" s="244">
        <v>1</v>
      </c>
      <c r="O5" s="245">
        <v>1.0160269358396701</v>
      </c>
      <c r="P5">
        <v>10.189135610172</v>
      </c>
      <c r="Q5">
        <v>7.7381507164082002E-3</v>
      </c>
      <c r="R5" s="245">
        <v>7.8766787188686196E-2</v>
      </c>
    </row>
    <row r="6" spans="1:18">
      <c r="A6" s="225" t="s">
        <v>195</v>
      </c>
      <c r="B6" s="257">
        <f>B4*(1-B28*B9*B25/B7)</f>
        <v>1.0155538604821153</v>
      </c>
      <c r="C6" s="276">
        <f>B6*SQRT(D4^2+(((B28*B9*B25/B7)*SQRT(C28^2+D9^2+D25^2))/(1-B28*B9*B25/B7))^2)</f>
        <v>6.701203498255575E-3</v>
      </c>
      <c r="D6" s="267">
        <f>C6/B6</f>
        <v>6.5985702570952797E-3</v>
      </c>
      <c r="E6" s="244">
        <v>42075.406442424501</v>
      </c>
      <c r="F6" s="244">
        <v>3325.3767167132501</v>
      </c>
      <c r="G6" s="244">
        <v>429202.43796701398</v>
      </c>
      <c r="H6" s="244">
        <v>42692.543848016001</v>
      </c>
      <c r="I6">
        <v>1.00607743555239</v>
      </c>
      <c r="J6">
        <v>10.0890403042161</v>
      </c>
      <c r="K6">
        <v>7.8709153957938604E-3</v>
      </c>
      <c r="L6" s="245">
        <v>7.8937810024973104E-2</v>
      </c>
      <c r="M6" s="243" t="s">
        <v>170</v>
      </c>
      <c r="N6" s="244">
        <v>44</v>
      </c>
      <c r="O6">
        <v>1.00607743555239</v>
      </c>
      <c r="P6">
        <v>10.0890403042161</v>
      </c>
      <c r="Q6">
        <v>7.8709153957938604E-3</v>
      </c>
      <c r="R6" s="245">
        <v>7.8937810024973104E-2</v>
      </c>
    </row>
    <row r="7" spans="1:18">
      <c r="A7" s="225" t="s">
        <v>194</v>
      </c>
      <c r="B7" s="258">
        <f>B49</f>
        <v>1.0083979999999999</v>
      </c>
      <c r="C7" s="184"/>
      <c r="D7" s="266">
        <f>(B4-B6)/B4</f>
        <v>1.6809044283035675E-4</v>
      </c>
      <c r="E7" s="244">
        <v>42540.707215599599</v>
      </c>
      <c r="F7" s="244">
        <v>3386.5168870063098</v>
      </c>
      <c r="G7" s="244">
        <v>424466.60743458598</v>
      </c>
      <c r="H7" s="244">
        <v>43152.956644531201</v>
      </c>
      <c r="I7"/>
      <c r="J7">
        <v>10.3621115235561</v>
      </c>
      <c r="K7">
        <v>7.7039683334501896E-3</v>
      </c>
      <c r="L7" s="245">
        <v>8.0657439270299697E-2</v>
      </c>
      <c r="M7" s="225"/>
      <c r="N7" s="242" t="s">
        <v>172</v>
      </c>
      <c r="O7">
        <v>1.05087856179982</v>
      </c>
      <c r="P7">
        <v>10.3621115235561</v>
      </c>
      <c r="Q7">
        <v>7.7039683334501896E-3</v>
      </c>
      <c r="R7" s="245">
        <v>8.0657439270299697E-2</v>
      </c>
    </row>
    <row r="8" spans="1:18">
      <c r="B8" s="275">
        <f>(B6-B49)/B4</f>
        <v>7.0450794672392361E-3</v>
      </c>
      <c r="C8" s="184"/>
      <c r="E8" s="244">
        <v>40689.344931603802</v>
      </c>
      <c r="F8" s="244">
        <v>3222.6615259783398</v>
      </c>
      <c r="G8" s="244">
        <v>428040.74683208001</v>
      </c>
      <c r="H8" s="244">
        <v>41668.886719144997</v>
      </c>
      <c r="I8">
        <v>0.99673543877383697</v>
      </c>
      <c r="J8">
        <v>10.2039903618496</v>
      </c>
      <c r="K8">
        <v>7.7396066220094201E-3</v>
      </c>
      <c r="L8" s="245">
        <v>7.8335926032804995E-2</v>
      </c>
      <c r="M8" s="243" t="s">
        <v>169</v>
      </c>
      <c r="N8" s="244">
        <v>1</v>
      </c>
      <c r="O8">
        <v>0.99673543877383697</v>
      </c>
      <c r="P8">
        <v>10.2039903618496</v>
      </c>
      <c r="Q8">
        <v>7.7396066220094201E-3</v>
      </c>
      <c r="R8" s="245">
        <v>7.8335926032804995E-2</v>
      </c>
    </row>
    <row r="9" spans="1:18">
      <c r="A9" s="225" t="s">
        <v>191</v>
      </c>
      <c r="B9" s="259">
        <f>J1002</f>
        <v>10.248256691165125</v>
      </c>
      <c r="C9" s="277">
        <f>J1005</f>
        <v>7.092698655052837E-2</v>
      </c>
      <c r="D9" s="268">
        <f>C9/B9</f>
        <v>6.9208831011886643E-3</v>
      </c>
      <c r="E9" s="244">
        <v>42124.385113583703</v>
      </c>
      <c r="F9" s="244">
        <v>3341.27314836798</v>
      </c>
      <c r="G9" s="244">
        <v>423265.399398193</v>
      </c>
      <c r="H9" s="244">
        <v>43010.913605746697</v>
      </c>
      <c r="I9">
        <v>1.01145093682797</v>
      </c>
      <c r="J9">
        <v>10.0029511434567</v>
      </c>
      <c r="K9">
        <v>7.8116125483477499E-3</v>
      </c>
      <c r="L9" s="245">
        <v>7.8630061495908996E-2</v>
      </c>
      <c r="M9" s="243" t="s">
        <v>170</v>
      </c>
      <c r="N9" s="244">
        <v>44</v>
      </c>
      <c r="O9">
        <v>1.01145093682797</v>
      </c>
      <c r="P9">
        <v>10.0029511434567</v>
      </c>
      <c r="Q9">
        <v>7.8116125483477499E-3</v>
      </c>
      <c r="R9" s="245">
        <v>7.8630061495908996E-2</v>
      </c>
    </row>
    <row r="10" spans="1:18">
      <c r="A10" s="225" t="s">
        <v>192</v>
      </c>
      <c r="B10" s="260">
        <f>K1002</f>
        <v>7.7804991909038142E-3</v>
      </c>
      <c r="C10" s="277">
        <f>K1005</f>
        <v>4.9238386967121742E-5</v>
      </c>
      <c r="D10" s="267">
        <f>C10/B10</f>
        <v>6.3284354588310178E-3</v>
      </c>
      <c r="E10" s="244">
        <v>42452.544380744897</v>
      </c>
      <c r="F10" s="244">
        <v>3305.8118899289602</v>
      </c>
      <c r="G10" s="244">
        <v>427593.95506789902</v>
      </c>
      <c r="H10" s="244">
        <v>42050.917138397097</v>
      </c>
      <c r="I10">
        <v>1.00273464336713</v>
      </c>
      <c r="J10">
        <v>10.165195218872</v>
      </c>
      <c r="K10">
        <v>7.8054912007463296E-3</v>
      </c>
      <c r="L10" s="245">
        <v>7.8844319201568994E-2</v>
      </c>
      <c r="M10" s="225"/>
      <c r="N10" s="242" t="s">
        <v>173</v>
      </c>
      <c r="O10">
        <v>1.00273464336713</v>
      </c>
      <c r="P10">
        <v>10.165195218872</v>
      </c>
      <c r="Q10">
        <v>7.8054912007463296E-3</v>
      </c>
      <c r="R10" s="245">
        <v>7.8844319201568994E-2</v>
      </c>
    </row>
    <row r="11" spans="1:18">
      <c r="A11" s="290"/>
      <c r="C11" s="184"/>
      <c r="E11" s="244">
        <v>41992.142894553603</v>
      </c>
      <c r="F11" s="244">
        <v>3357.1695888918498</v>
      </c>
      <c r="G11" s="244">
        <v>428229.39433171903</v>
      </c>
      <c r="H11" s="244">
        <v>43001.117560190898</v>
      </c>
      <c r="I11">
        <v>1.0267278005817899</v>
      </c>
      <c r="J11">
        <v>10.262078383317</v>
      </c>
      <c r="K11">
        <v>7.8135528507939193E-3</v>
      </c>
      <c r="L11" s="245">
        <v>8.0239700352760901E-2</v>
      </c>
      <c r="M11" s="243" t="s">
        <v>169</v>
      </c>
      <c r="N11" s="244">
        <v>0</v>
      </c>
      <c r="O11">
        <v>1.0267278005817899</v>
      </c>
      <c r="P11">
        <v>10.262078383317</v>
      </c>
      <c r="Q11">
        <v>7.8135528507939193E-3</v>
      </c>
      <c r="R11" s="245">
        <v>8.0239700352760901E-2</v>
      </c>
    </row>
    <row r="12" spans="1:18">
      <c r="A12" s="225" t="s">
        <v>179</v>
      </c>
      <c r="B12" s="225">
        <f>B9*(B7/B6)^(LN(B38/B40)/LN(B37/B40))</f>
        <v>10.199948016211481</v>
      </c>
      <c r="C12" s="284">
        <f>B12*SQRT(D9^2+(2*D6/3)^2)</f>
        <v>8.3645939740827166E-2</v>
      </c>
      <c r="D12" s="285">
        <f>C12/B12</f>
        <v>8.2006241216016889E-3</v>
      </c>
      <c r="E12" s="244">
        <v>41747.251516024298</v>
      </c>
      <c r="F12" s="244">
        <v>3354.7239820801301</v>
      </c>
      <c r="G12" s="244">
        <v>431754.351937339</v>
      </c>
      <c r="H12" s="244">
        <v>42050.917138397097</v>
      </c>
      <c r="I12">
        <v>1.0168965675449799</v>
      </c>
      <c r="J12">
        <v>10.419483332124599</v>
      </c>
      <c r="K12">
        <v>7.9576562636726692E-3</v>
      </c>
      <c r="L12" s="245">
        <v>8.1819616927682998E-2</v>
      </c>
      <c r="M12" s="243" t="s">
        <v>170</v>
      </c>
      <c r="N12" s="244">
        <v>33</v>
      </c>
      <c r="O12">
        <v>1.0168965675449799</v>
      </c>
      <c r="P12">
        <v>10.419483332124599</v>
      </c>
      <c r="Q12">
        <v>7.9576562636726692E-3</v>
      </c>
      <c r="R12" s="245">
        <v>8.1819616927682998E-2</v>
      </c>
    </row>
    <row r="13" spans="1:18">
      <c r="A13" s="225" t="s">
        <v>180</v>
      </c>
      <c r="B13" s="261">
        <f>B10*(B7/B6)^(LN(B39/B38)/LN(B37/B40))</f>
        <v>7.7988781087655456E-3</v>
      </c>
      <c r="C13" s="276">
        <f>B13*SQRT(D10^2+(D6/3)^2)</f>
        <v>5.2250736483215935E-5</v>
      </c>
      <c r="D13" s="285">
        <f>C13/B13</f>
        <v>6.6997760132305106E-3</v>
      </c>
      <c r="E13" s="244">
        <v>41272.168240273502</v>
      </c>
      <c r="F13" s="244">
        <v>3459.88526454269</v>
      </c>
      <c r="G13" s="244">
        <v>427256.383680575</v>
      </c>
      <c r="H13" s="244">
        <v>41825.616528297003</v>
      </c>
      <c r="I13">
        <v>1.0040759252682601</v>
      </c>
      <c r="J13">
        <v>10.2334844523835</v>
      </c>
      <c r="K13" s="272">
        <v>8.0039427150993894E-3</v>
      </c>
      <c r="L13" s="245">
        <v>8.2542737436886907E-2</v>
      </c>
      <c r="M13" s="225"/>
      <c r="N13" s="245"/>
      <c r="O13">
        <v>1.0040759252682601</v>
      </c>
      <c r="P13">
        <v>10.2334844523835</v>
      </c>
      <c r="Q13" s="272">
        <v>8.0039427150993894E-3</v>
      </c>
      <c r="R13" s="245">
        <v>8.2542737436886907E-2</v>
      </c>
    </row>
    <row r="14" spans="1:18">
      <c r="A14" s="225" t="s">
        <v>193</v>
      </c>
      <c r="B14" s="261">
        <f>B13*(1-B25*B29/B13)</f>
        <v>7.7947432087655455E-3</v>
      </c>
      <c r="C14" s="286">
        <f>B14*SQRT(D13^2+((B25*B29/B13)*SQRT(D25^2+C29^2+D13^2)/(1-B25*B29/B13))^2)</f>
        <v>5.2237771496731268E-5</v>
      </c>
      <c r="D14" s="285">
        <f>C14/B14</f>
        <v>6.7016667640811441E-3</v>
      </c>
      <c r="E14" s="244">
        <v>41815.820889983603</v>
      </c>
      <c r="F14" s="244">
        <v>3390.1853013960699</v>
      </c>
      <c r="G14" s="244">
        <v>425350.17270652798</v>
      </c>
      <c r="H14" s="244">
        <v>42677.849945023198</v>
      </c>
      <c r="I14">
        <v>1.03032240199818</v>
      </c>
      <c r="J14">
        <v>10.2560627192167</v>
      </c>
      <c r="K14">
        <v>7.7123333844307598E-3</v>
      </c>
      <c r="L14" s="245">
        <v>8.0259944647529599E-2</v>
      </c>
      <c r="N14" s="245"/>
      <c r="O14">
        <v>1.03032240199818</v>
      </c>
      <c r="P14">
        <v>10.2560627192167</v>
      </c>
      <c r="Q14">
        <v>7.7123333844307598E-3</v>
      </c>
      <c r="R14" s="245">
        <v>8.0259944647529599E-2</v>
      </c>
    </row>
    <row r="15" spans="1:18">
      <c r="A15" s="290"/>
      <c r="B15" s="275">
        <f>(B13-B14)/B13</f>
        <v>5.301916432509324E-4</v>
      </c>
      <c r="C15" s="184"/>
      <c r="E15" s="244">
        <v>41375.0206491793</v>
      </c>
      <c r="F15" s="244">
        <v>3217.77033565599</v>
      </c>
      <c r="G15" s="244">
        <v>424347.47711924498</v>
      </c>
      <c r="H15" s="244">
        <v>42712.135730453097</v>
      </c>
      <c r="I15">
        <v>1.0245083589035999</v>
      </c>
      <c r="J15">
        <v>10.193107344516299</v>
      </c>
      <c r="K15">
        <v>7.7588415778232804E-3</v>
      </c>
      <c r="L15" s="245">
        <v>7.8300123428002397E-2</v>
      </c>
      <c r="N15" s="245"/>
      <c r="O15">
        <v>1.0245083589035999</v>
      </c>
      <c r="P15">
        <v>10.193107344516299</v>
      </c>
      <c r="Q15">
        <v>7.7588415778232804E-3</v>
      </c>
      <c r="R15" s="245">
        <v>7.8300123428002397E-2</v>
      </c>
    </row>
    <row r="16" spans="1:18">
      <c r="A16" s="225" t="s">
        <v>182</v>
      </c>
      <c r="B16" s="299">
        <f>B12</f>
        <v>10.199948016211481</v>
      </c>
      <c r="C16" s="300">
        <f>C12</f>
        <v>8.3645939740827166E-2</v>
      </c>
      <c r="D16" s="271"/>
      <c r="E16" s="244">
        <v>41683.580102152999</v>
      </c>
      <c r="F16" s="244">
        <v>3331.4907278385499</v>
      </c>
      <c r="G16" s="244">
        <v>424158.85513118398</v>
      </c>
      <c r="H16" s="244">
        <v>42334.994358343203</v>
      </c>
      <c r="I16">
        <v>1.0023993757926299</v>
      </c>
      <c r="J16">
        <v>10.054502239438399</v>
      </c>
      <c r="K16">
        <v>7.7848545447899899E-3</v>
      </c>
      <c r="L16" s="245">
        <v>7.8781793341294801E-2</v>
      </c>
      <c r="N16" s="245"/>
      <c r="O16">
        <v>1.0023993757926299</v>
      </c>
      <c r="P16">
        <v>10.054502239438399</v>
      </c>
      <c r="Q16">
        <v>7.7848545447899899E-3</v>
      </c>
      <c r="R16" s="245">
        <v>7.8781793341294801E-2</v>
      </c>
    </row>
    <row r="17" spans="1:18">
      <c r="A17" s="225" t="s">
        <v>183</v>
      </c>
      <c r="B17" s="262">
        <f>B14</f>
        <v>7.7947432087655455E-3</v>
      </c>
      <c r="C17" s="287">
        <f>B17*SQRT((SQRT(D10^2+(B25*B29/B13*SQRT(C29^2+D10^2)/(1-B25*B29/B13))^2))^2+(D6/3)^2)</f>
        <v>5.2237770691226394E-5</v>
      </c>
      <c r="D17" s="285"/>
      <c r="E17" s="244">
        <v>42271.321631900602</v>
      </c>
      <c r="F17" s="244">
        <v>3281.3558753413699</v>
      </c>
      <c r="G17" s="244">
        <v>422967.58700094302</v>
      </c>
      <c r="H17" s="244">
        <v>42075.406442424501</v>
      </c>
      <c r="I17">
        <v>1.0359016312367499</v>
      </c>
      <c r="J17">
        <v>10.3705139391632</v>
      </c>
      <c r="K17">
        <v>7.7697280335550798E-3</v>
      </c>
      <c r="L17" s="245">
        <v>7.9964498555414196E-2</v>
      </c>
      <c r="N17" s="245"/>
      <c r="O17">
        <v>1.0359016312367499</v>
      </c>
      <c r="P17">
        <v>10.3705139391632</v>
      </c>
      <c r="Q17">
        <v>7.7697280335550798E-3</v>
      </c>
      <c r="R17" s="245">
        <v>7.9964498555414196E-2</v>
      </c>
    </row>
    <row r="18" spans="1:18">
      <c r="A18" s="225" t="s">
        <v>154</v>
      </c>
      <c r="B18" s="236">
        <f>E1003</f>
        <v>16</v>
      </c>
      <c r="C18" s="278">
        <f>K1003</f>
        <v>16</v>
      </c>
      <c r="D18" s="184"/>
      <c r="E18" s="272"/>
      <c r="F18" s="244"/>
      <c r="G18" s="244"/>
      <c r="H18" s="244"/>
      <c r="I18"/>
      <c r="J18"/>
      <c r="K18"/>
      <c r="L18" s="245"/>
      <c r="N18" s="245"/>
      <c r="O18"/>
      <c r="P18"/>
      <c r="Q18"/>
      <c r="R18" s="245"/>
    </row>
    <row r="19" spans="1:18">
      <c r="A19" s="225" t="s">
        <v>155</v>
      </c>
      <c r="B19" s="237">
        <f>E1002</f>
        <v>41675.62990026793</v>
      </c>
      <c r="C19" s="279"/>
      <c r="D19" s="184"/>
      <c r="E19" s="244"/>
      <c r="F19" s="244"/>
      <c r="G19" s="244"/>
      <c r="H19" s="244"/>
      <c r="I19"/>
      <c r="J19"/>
      <c r="K19"/>
      <c r="L19" s="245"/>
      <c r="N19" s="245"/>
      <c r="O19"/>
      <c r="P19"/>
      <c r="Q19"/>
      <c r="R19" s="245"/>
    </row>
    <row r="20" spans="1:18">
      <c r="A20" s="290"/>
      <c r="C20" s="184"/>
      <c r="D20" s="184"/>
      <c r="E20" s="244"/>
      <c r="F20" s="244"/>
      <c r="G20" s="244"/>
      <c r="H20" s="244"/>
      <c r="I20"/>
      <c r="J20"/>
      <c r="K20"/>
      <c r="L20" s="245"/>
      <c r="N20" s="245"/>
      <c r="O20"/>
      <c r="P20"/>
      <c r="Q20"/>
      <c r="R20" s="245"/>
    </row>
    <row r="21" spans="1:18">
      <c r="A21" s="225" t="s">
        <v>156</v>
      </c>
      <c r="B21" s="294">
        <v>1.0489999999999999</v>
      </c>
      <c r="C21" s="184"/>
      <c r="D21" s="184"/>
      <c r="E21" s="244"/>
      <c r="F21" s="244"/>
      <c r="G21" s="244"/>
      <c r="H21" s="244"/>
      <c r="I21"/>
      <c r="J21"/>
      <c r="K21"/>
      <c r="L21" s="245"/>
      <c r="N21" s="245"/>
      <c r="O21"/>
      <c r="P21"/>
      <c r="Q21"/>
      <c r="R21" s="245"/>
    </row>
    <row r="22" spans="1:18">
      <c r="A22" s="225" t="s">
        <v>157</v>
      </c>
      <c r="B22" s="226">
        <f>2/(F1002*B18*B21)^0.5</f>
        <v>8.4808963625787742E-3</v>
      </c>
      <c r="C22" s="184"/>
      <c r="D22" s="184"/>
      <c r="E22" s="244"/>
      <c r="F22" s="244"/>
      <c r="G22" s="244"/>
      <c r="H22" s="244"/>
      <c r="I22"/>
      <c r="J22"/>
      <c r="K22"/>
      <c r="L22"/>
      <c r="N22" s="245"/>
      <c r="O22"/>
      <c r="P22"/>
      <c r="Q22"/>
      <c r="R22"/>
    </row>
    <row r="23" spans="1:18">
      <c r="A23" s="225" t="s">
        <v>201</v>
      </c>
      <c r="B23" s="301">
        <v>0.01</v>
      </c>
      <c r="C23" s="184"/>
      <c r="D23" s="184"/>
      <c r="E23" s="244"/>
      <c r="F23" s="244"/>
      <c r="G23" s="244"/>
      <c r="H23" s="244"/>
      <c r="I23"/>
      <c r="J23"/>
      <c r="K23"/>
      <c r="L23" s="245"/>
      <c r="N23" s="245"/>
      <c r="O23"/>
      <c r="P23"/>
      <c r="Q23"/>
      <c r="R23" s="245"/>
    </row>
    <row r="24" spans="1:18">
      <c r="A24" s="225" t="s">
        <v>184</v>
      </c>
      <c r="B24" s="283">
        <f>L1002*(B7/B6)^(LN(B39/B40)/LN(B37/B40))</f>
        <v>7.9496057348338228E-2</v>
      </c>
      <c r="C24" s="281">
        <f>L1005</f>
        <v>6.2956199719867026E-4</v>
      </c>
      <c r="D24" s="271">
        <f>C24/B24</f>
        <v>7.9194115808792435E-3</v>
      </c>
      <c r="E24" s="244"/>
      <c r="F24" s="245"/>
      <c r="G24" s="244"/>
      <c r="H24" s="244"/>
      <c r="I24"/>
      <c r="J24"/>
      <c r="K24"/>
      <c r="L24" s="245"/>
      <c r="N24" s="245"/>
      <c r="O24"/>
      <c r="P24"/>
      <c r="Q24"/>
      <c r="R24" s="245"/>
    </row>
    <row r="25" spans="1:18">
      <c r="A25" s="225" t="s">
        <v>190</v>
      </c>
      <c r="B25" s="223">
        <v>137.83000000000001</v>
      </c>
      <c r="C25" s="282">
        <v>0.04</v>
      </c>
      <c r="D25" s="271">
        <f>C25/B25</f>
        <v>2.9021258071537399E-4</v>
      </c>
      <c r="E25" s="244"/>
      <c r="F25" s="244"/>
      <c r="G25" s="244"/>
      <c r="H25" s="244"/>
      <c r="I25"/>
      <c r="J25"/>
      <c r="K25"/>
      <c r="L25" s="245"/>
      <c r="N25" s="245"/>
      <c r="O25"/>
      <c r="P25"/>
      <c r="Q25"/>
      <c r="R25" s="245"/>
    </row>
    <row r="26" spans="1:18" ht="15.75">
      <c r="A26" s="246" t="s">
        <v>174</v>
      </c>
      <c r="B26" s="302">
        <f>((((((B14*(1-B23/(B19*B16*B14)))/B25)*(1-B52/B24))/(1-B51/B16))*(B45/B46))-1)*1000</f>
        <v>-2.2236153397673375</v>
      </c>
      <c r="C26" s="247">
        <f>C17*((1/B25)*(B45/B46))*(1-B52/B24)/(1-B51/B16)*1000</f>
        <v>6.686784912614903</v>
      </c>
      <c r="E26" s="244"/>
      <c r="F26" s="244"/>
      <c r="G26" s="244"/>
      <c r="H26" s="244"/>
      <c r="I26"/>
      <c r="J26"/>
      <c r="K26"/>
      <c r="L26" s="245"/>
      <c r="N26" s="245"/>
      <c r="O26"/>
      <c r="P26"/>
      <c r="Q26"/>
      <c r="R26" s="245"/>
    </row>
    <row r="27" spans="1:18">
      <c r="A27" s="225" t="s">
        <v>199</v>
      </c>
      <c r="B27" s="256">
        <v>5.9999999999999997E-7</v>
      </c>
      <c r="C27" s="184"/>
      <c r="E27" s="244"/>
      <c r="F27" s="244"/>
      <c r="G27" s="244"/>
      <c r="H27" s="244"/>
      <c r="I27"/>
      <c r="J27"/>
      <c r="K27"/>
      <c r="L27" s="245"/>
      <c r="N27" s="245"/>
      <c r="O27"/>
      <c r="P27"/>
      <c r="Q27"/>
      <c r="R27" s="245"/>
    </row>
    <row r="28" spans="1:18">
      <c r="A28" s="225" t="s">
        <v>196</v>
      </c>
      <c r="B28" s="293">
        <f>B27/5</f>
        <v>1.1999999999999999E-7</v>
      </c>
      <c r="C28" s="280">
        <v>0.3</v>
      </c>
      <c r="E28" s="244"/>
      <c r="F28" s="244"/>
      <c r="G28" s="244"/>
      <c r="H28" s="244"/>
      <c r="I28"/>
      <c r="J28"/>
      <c r="K28"/>
      <c r="L28"/>
      <c r="N28" s="245"/>
      <c r="O28"/>
      <c r="P28"/>
      <c r="Q28"/>
      <c r="R28"/>
    </row>
    <row r="29" spans="1:18">
      <c r="A29" s="225" t="s">
        <v>197</v>
      </c>
      <c r="B29" s="293">
        <f>B28/4</f>
        <v>2.9999999999999997E-8</v>
      </c>
      <c r="C29" s="280">
        <v>0.3</v>
      </c>
      <c r="E29" s="244"/>
      <c r="F29" s="244"/>
      <c r="G29" s="244"/>
      <c r="H29" s="244"/>
      <c r="I29"/>
      <c r="J29"/>
      <c r="K29"/>
      <c r="L29"/>
      <c r="N29" s="245"/>
      <c r="O29"/>
      <c r="P29"/>
      <c r="Q29"/>
      <c r="R29"/>
    </row>
    <row r="30" spans="1:18">
      <c r="E30" s="244"/>
      <c r="F30" s="244"/>
      <c r="G30" s="244"/>
      <c r="H30" s="244"/>
      <c r="I30"/>
      <c r="J30"/>
      <c r="K30"/>
      <c r="L30" s="245"/>
      <c r="N30" s="245"/>
      <c r="O30"/>
      <c r="P30"/>
      <c r="Q30"/>
      <c r="R30" s="245"/>
    </row>
    <row r="31" spans="1:18">
      <c r="E31" s="244"/>
      <c r="F31" s="244"/>
      <c r="G31" s="244"/>
      <c r="H31" s="244"/>
      <c r="I31"/>
      <c r="J31"/>
      <c r="K31"/>
      <c r="L31" s="245"/>
      <c r="N31" s="245"/>
      <c r="O31"/>
      <c r="P31"/>
      <c r="Q31"/>
      <c r="R31" s="245"/>
    </row>
    <row r="32" spans="1:18">
      <c r="E32" s="244"/>
      <c r="F32" s="244"/>
      <c r="G32" s="244"/>
      <c r="H32" s="244"/>
      <c r="I32"/>
      <c r="J32"/>
      <c r="K32"/>
      <c r="L32"/>
      <c r="N32" s="245"/>
      <c r="O32"/>
      <c r="P32"/>
      <c r="Q32"/>
      <c r="R32"/>
    </row>
    <row r="33" spans="1:18">
      <c r="E33" s="244"/>
      <c r="F33" s="244"/>
      <c r="G33" s="244"/>
      <c r="H33" s="244"/>
      <c r="I33"/>
      <c r="J33"/>
      <c r="K33"/>
      <c r="L33" s="245"/>
      <c r="N33" s="245"/>
      <c r="O33"/>
      <c r="P33"/>
      <c r="Q33"/>
      <c r="R33" s="245"/>
    </row>
    <row r="34" spans="1:18">
      <c r="E34" s="244"/>
      <c r="F34" s="244"/>
      <c r="G34" s="244"/>
      <c r="H34" s="244"/>
      <c r="I34"/>
      <c r="J34"/>
      <c r="K34"/>
      <c r="L34" s="245"/>
      <c r="N34" s="245"/>
      <c r="O34"/>
      <c r="P34"/>
      <c r="Q34"/>
      <c r="R34" s="245"/>
    </row>
    <row r="35" spans="1:18">
      <c r="A35" s="252" t="s">
        <v>144</v>
      </c>
      <c r="B35" s="253"/>
      <c r="E35" s="244"/>
      <c r="F35" s="244"/>
      <c r="G35" s="244"/>
      <c r="H35" s="244"/>
      <c r="I35"/>
      <c r="J35"/>
      <c r="K35"/>
      <c r="L35" s="245"/>
      <c r="N35" s="245"/>
      <c r="O35"/>
      <c r="P35"/>
      <c r="Q35"/>
      <c r="R35" s="245"/>
    </row>
    <row r="36" spans="1:18">
      <c r="A36" s="254" t="s">
        <v>145</v>
      </c>
      <c r="B36" s="255">
        <v>238.05078499999999</v>
      </c>
      <c r="E36" s="244"/>
      <c r="F36" s="244"/>
      <c r="G36" s="244"/>
      <c r="H36" s="244"/>
      <c r="I36"/>
      <c r="J36"/>
      <c r="K36"/>
      <c r="L36" s="245"/>
      <c r="N36" s="245"/>
      <c r="O36"/>
      <c r="P36"/>
      <c r="Q36"/>
      <c r="R36" s="245"/>
    </row>
    <row r="37" spans="1:18">
      <c r="A37" s="254" t="s">
        <v>147</v>
      </c>
      <c r="B37" s="255">
        <v>236.04556299999999</v>
      </c>
      <c r="E37" s="244"/>
      <c r="F37" s="244"/>
      <c r="G37" s="244"/>
      <c r="H37" s="244"/>
      <c r="I37"/>
      <c r="J37"/>
      <c r="K37"/>
      <c r="L37" s="245"/>
      <c r="N37" s="245"/>
      <c r="O37"/>
      <c r="P37"/>
      <c r="Q37"/>
      <c r="R37" s="245"/>
    </row>
    <row r="38" spans="1:18">
      <c r="A38" s="254" t="s">
        <v>148</v>
      </c>
      <c r="B38" s="255">
        <v>235.043924</v>
      </c>
      <c r="E38" s="244"/>
      <c r="F38" s="244"/>
      <c r="G38" s="244"/>
      <c r="H38" s="244"/>
      <c r="I38"/>
      <c r="J38"/>
      <c r="K38"/>
      <c r="L38" s="245"/>
      <c r="N38" s="245"/>
      <c r="O38"/>
      <c r="P38"/>
      <c r="Q38"/>
      <c r="R38" s="245"/>
    </row>
    <row r="39" spans="1:18">
      <c r="A39" s="254" t="s">
        <v>149</v>
      </c>
      <c r="B39" s="255">
        <v>234.04094699999999</v>
      </c>
      <c r="E39" s="244"/>
      <c r="F39" s="244"/>
      <c r="G39" s="244"/>
      <c r="H39" s="244"/>
      <c r="I39"/>
      <c r="J39"/>
      <c r="K39"/>
      <c r="L39" s="245"/>
      <c r="N39" s="245"/>
      <c r="O39"/>
      <c r="P39"/>
      <c r="Q39"/>
      <c r="R39" s="245"/>
    </row>
    <row r="40" spans="1:18">
      <c r="A40" s="254" t="s">
        <v>150</v>
      </c>
      <c r="B40" s="255">
        <v>233.03962899999999</v>
      </c>
      <c r="E40" s="244"/>
      <c r="F40" s="244"/>
      <c r="G40" s="244"/>
      <c r="H40" s="244"/>
      <c r="I40"/>
      <c r="J40"/>
      <c r="K40"/>
      <c r="L40" s="245"/>
      <c r="N40" s="245"/>
      <c r="O40"/>
      <c r="P40"/>
      <c r="Q40"/>
      <c r="R40" s="245"/>
    </row>
    <row r="41" spans="1:18">
      <c r="E41" s="244"/>
      <c r="F41" s="244"/>
      <c r="G41" s="244"/>
      <c r="H41" s="244"/>
      <c r="I41"/>
      <c r="J41"/>
      <c r="K41"/>
      <c r="L41" s="245"/>
      <c r="N41" s="245"/>
      <c r="O41"/>
      <c r="P41"/>
      <c r="Q41"/>
      <c r="R41" s="245"/>
    </row>
    <row r="42" spans="1:18">
      <c r="A42" s="225"/>
      <c r="B42" s="223" t="s">
        <v>189</v>
      </c>
      <c r="E42" s="244"/>
      <c r="F42" s="244"/>
      <c r="G42" s="244"/>
      <c r="H42" s="244"/>
      <c r="I42"/>
      <c r="J42"/>
      <c r="K42"/>
      <c r="L42"/>
      <c r="N42" s="245"/>
      <c r="O42"/>
      <c r="P42"/>
      <c r="Q42"/>
      <c r="R42"/>
    </row>
    <row r="43" spans="1:18">
      <c r="A43" s="264" t="s">
        <v>185</v>
      </c>
      <c r="B43">
        <v>9.170520780000001E-6</v>
      </c>
      <c r="E43" s="244"/>
      <c r="F43" s="244"/>
      <c r="G43" s="244"/>
      <c r="H43" s="244"/>
      <c r="I43"/>
      <c r="J43"/>
      <c r="K43"/>
      <c r="L43" s="245"/>
      <c r="N43" s="245"/>
      <c r="O43"/>
      <c r="P43"/>
      <c r="Q43"/>
      <c r="R43" s="245"/>
    </row>
    <row r="44" spans="1:18">
      <c r="A44" s="264" t="s">
        <v>186</v>
      </c>
      <c r="B44">
        <v>4.9475000000000002E-11</v>
      </c>
      <c r="E44" s="244"/>
      <c r="F44" s="244"/>
      <c r="G44" s="244"/>
      <c r="H44" s="244"/>
      <c r="I44"/>
      <c r="J44"/>
      <c r="K44"/>
      <c r="L44" s="245"/>
      <c r="N44" s="245"/>
      <c r="O44"/>
      <c r="P44"/>
      <c r="Q44"/>
      <c r="R44" s="245"/>
    </row>
    <row r="45" spans="1:18">
      <c r="A45" s="264" t="s">
        <v>187</v>
      </c>
      <c r="B45">
        <v>2.8220605500000003E-6</v>
      </c>
      <c r="E45" s="244"/>
      <c r="F45" s="244"/>
      <c r="G45" s="244"/>
      <c r="H45" s="244"/>
      <c r="I45"/>
      <c r="J45"/>
      <c r="K45"/>
      <c r="L45" s="245"/>
      <c r="N45" s="245"/>
      <c r="O45"/>
      <c r="P45"/>
      <c r="Q45"/>
      <c r="R45" s="245"/>
    </row>
    <row r="46" spans="1:18">
      <c r="A46" s="264" t="s">
        <v>188</v>
      </c>
      <c r="B46">
        <v>1.5512499999999999E-10</v>
      </c>
      <c r="E46" s="244"/>
      <c r="F46" s="244"/>
      <c r="G46" s="244"/>
      <c r="H46" s="244"/>
      <c r="I46"/>
      <c r="J46"/>
      <c r="K46"/>
      <c r="L46"/>
      <c r="N46" s="245"/>
      <c r="O46"/>
      <c r="P46"/>
      <c r="Q46"/>
      <c r="R46"/>
    </row>
    <row r="47" spans="1:18">
      <c r="E47" s="244"/>
      <c r="F47" s="244"/>
      <c r="G47" s="244"/>
      <c r="H47" s="244"/>
      <c r="I47"/>
      <c r="J47"/>
      <c r="K47"/>
      <c r="L47" s="245"/>
      <c r="N47" s="245"/>
      <c r="O47"/>
      <c r="P47"/>
      <c r="Q47"/>
      <c r="R47" s="245"/>
    </row>
    <row r="48" spans="1:18">
      <c r="A48" s="394" t="s">
        <v>146</v>
      </c>
      <c r="B48" s="265"/>
      <c r="E48" s="244"/>
      <c r="F48" s="244"/>
      <c r="G48" s="244"/>
      <c r="H48" s="244"/>
      <c r="I48"/>
      <c r="J48"/>
      <c r="K48"/>
      <c r="L48" s="245"/>
      <c r="N48" s="245"/>
      <c r="O48"/>
      <c r="P48"/>
      <c r="Q48"/>
      <c r="R48" s="245"/>
    </row>
    <row r="49" spans="1:18">
      <c r="A49" s="393" t="s">
        <v>239</v>
      </c>
      <c r="B49" s="304">
        <v>1.0083979999999999</v>
      </c>
      <c r="E49" s="244"/>
      <c r="F49" s="244"/>
      <c r="G49" s="244"/>
      <c r="H49" s="244"/>
      <c r="I49"/>
      <c r="J49"/>
      <c r="K49"/>
      <c r="L49" s="245"/>
      <c r="N49" s="245"/>
      <c r="O49"/>
      <c r="P49"/>
      <c r="Q49"/>
      <c r="R49" s="245"/>
    </row>
    <row r="50" spans="1:18">
      <c r="A50" s="393" t="s">
        <v>240</v>
      </c>
      <c r="B50" s="304">
        <v>1.6802153628327297E-2</v>
      </c>
      <c r="E50" s="244"/>
      <c r="F50" s="244"/>
      <c r="G50" s="244"/>
      <c r="H50" s="244"/>
      <c r="I50"/>
      <c r="J50"/>
      <c r="K50"/>
      <c r="L50"/>
      <c r="N50" s="245"/>
      <c r="O50"/>
      <c r="P50"/>
      <c r="Q50"/>
      <c r="R50"/>
    </row>
    <row r="51" spans="1:18">
      <c r="A51" s="393" t="s">
        <v>241</v>
      </c>
      <c r="B51" s="304">
        <v>0.10532139153895437</v>
      </c>
      <c r="E51" s="244"/>
      <c r="F51" s="244"/>
      <c r="G51" s="244"/>
      <c r="H51" s="244"/>
      <c r="I51"/>
      <c r="J51"/>
      <c r="K51"/>
      <c r="L51" s="245"/>
      <c r="N51" s="245"/>
      <c r="O51"/>
      <c r="P51"/>
      <c r="Q51"/>
      <c r="R51" s="245"/>
    </row>
    <row r="52" spans="1:18">
      <c r="A52" s="393" t="s">
        <v>242</v>
      </c>
      <c r="B52" s="304">
        <v>3.1951268933333695E-3</v>
      </c>
      <c r="E52" s="244"/>
      <c r="F52" s="244"/>
      <c r="G52" s="244"/>
      <c r="H52" s="244"/>
      <c r="I52"/>
      <c r="J52"/>
      <c r="K52"/>
      <c r="L52"/>
      <c r="N52" s="245"/>
      <c r="O52"/>
      <c r="P52"/>
      <c r="Q52"/>
      <c r="R52"/>
    </row>
    <row r="53" spans="1:18">
      <c r="E53" s="244"/>
      <c r="F53" s="244"/>
      <c r="G53" s="244"/>
      <c r="H53" s="244"/>
      <c r="I53"/>
      <c r="J53"/>
      <c r="K53"/>
      <c r="L53" s="245"/>
      <c r="N53" s="245"/>
      <c r="O53"/>
      <c r="P53"/>
      <c r="Q53"/>
      <c r="R53" s="245"/>
    </row>
    <row r="54" spans="1:18">
      <c r="E54" s="244"/>
      <c r="F54" s="244"/>
      <c r="G54" s="244"/>
      <c r="H54" s="244"/>
      <c r="I54"/>
      <c r="J54"/>
      <c r="K54"/>
      <c r="L54"/>
      <c r="N54" s="245"/>
      <c r="O54"/>
      <c r="P54"/>
      <c r="Q54"/>
      <c r="R54"/>
    </row>
    <row r="55" spans="1:18">
      <c r="E55" s="244"/>
      <c r="F55" s="244"/>
      <c r="G55" s="244"/>
      <c r="H55" s="244"/>
      <c r="I55"/>
      <c r="J55"/>
      <c r="K55"/>
      <c r="L55" s="245"/>
      <c r="N55" s="245"/>
      <c r="O55"/>
      <c r="P55"/>
      <c r="Q55"/>
      <c r="R55" s="245"/>
    </row>
    <row r="56" spans="1:18">
      <c r="E56" s="244"/>
      <c r="F56" s="244"/>
      <c r="G56" s="244"/>
      <c r="H56" s="244"/>
      <c r="I56"/>
      <c r="J56"/>
      <c r="K56"/>
      <c r="L56" s="245"/>
      <c r="N56" s="245"/>
      <c r="O56"/>
      <c r="P56"/>
      <c r="Q56"/>
      <c r="R56" s="245"/>
    </row>
    <row r="57" spans="1:18">
      <c r="E57" s="244"/>
      <c r="F57" s="244"/>
      <c r="G57" s="244"/>
      <c r="H57" s="244"/>
      <c r="I57"/>
      <c r="J57"/>
      <c r="K57"/>
      <c r="L57" s="245"/>
      <c r="N57" s="245"/>
      <c r="O57"/>
      <c r="P57"/>
      <c r="Q57"/>
      <c r="R57" s="245"/>
    </row>
    <row r="58" spans="1:18">
      <c r="E58" s="244"/>
      <c r="F58" s="244"/>
      <c r="G58" s="244"/>
      <c r="H58" s="244"/>
      <c r="I58"/>
      <c r="J58"/>
      <c r="K58"/>
      <c r="L58" s="245"/>
      <c r="N58" s="245"/>
      <c r="O58"/>
      <c r="P58"/>
      <c r="Q58"/>
      <c r="R58" s="245"/>
    </row>
    <row r="59" spans="1:18">
      <c r="E59" s="244"/>
      <c r="F59" s="244"/>
      <c r="G59" s="244"/>
      <c r="H59" s="244"/>
      <c r="I59"/>
      <c r="J59"/>
      <c r="K59"/>
      <c r="L59"/>
      <c r="N59" s="245"/>
      <c r="O59"/>
      <c r="P59"/>
      <c r="Q59"/>
      <c r="R59"/>
    </row>
    <row r="60" spans="1:18">
      <c r="E60" s="244"/>
      <c r="F60" s="244"/>
      <c r="G60" s="244"/>
      <c r="H60" s="244"/>
      <c r="I60"/>
      <c r="J60"/>
      <c r="K60"/>
      <c r="L60" s="245"/>
      <c r="N60" s="245"/>
      <c r="O60"/>
      <c r="P60"/>
      <c r="Q60"/>
      <c r="R60" s="245"/>
    </row>
    <row r="61" spans="1:18">
      <c r="E61" s="244"/>
      <c r="F61" s="244"/>
      <c r="G61" s="244"/>
      <c r="H61" s="244"/>
      <c r="I61"/>
      <c r="J61"/>
      <c r="K61"/>
      <c r="L61" s="245"/>
      <c r="N61" s="245"/>
      <c r="O61"/>
      <c r="P61"/>
      <c r="Q61"/>
      <c r="R61" s="245"/>
    </row>
    <row r="62" spans="1:18">
      <c r="E62" s="244"/>
      <c r="F62" s="244"/>
      <c r="G62" s="244"/>
      <c r="H62" s="244"/>
      <c r="I62"/>
      <c r="J62"/>
      <c r="K62"/>
      <c r="L62" s="245"/>
      <c r="N62" s="245"/>
      <c r="O62"/>
      <c r="P62"/>
      <c r="Q62"/>
      <c r="R62" s="245"/>
    </row>
    <row r="63" spans="1:18">
      <c r="E63" s="244"/>
      <c r="F63" s="244"/>
      <c r="G63" s="244"/>
      <c r="H63" s="244"/>
      <c r="I63"/>
      <c r="J63"/>
      <c r="K63"/>
      <c r="L63" s="245"/>
      <c r="N63" s="245"/>
      <c r="O63"/>
      <c r="P63"/>
      <c r="Q63"/>
      <c r="R63" s="245"/>
    </row>
    <row r="64" spans="1:18">
      <c r="E64" s="244"/>
      <c r="F64" s="244"/>
      <c r="G64" s="244"/>
      <c r="H64" s="244"/>
      <c r="I64"/>
      <c r="J64"/>
      <c r="K64"/>
      <c r="L64"/>
      <c r="N64" s="245"/>
      <c r="O64"/>
      <c r="P64"/>
      <c r="Q64"/>
      <c r="R64"/>
    </row>
    <row r="65" spans="5:18">
      <c r="E65" s="244"/>
      <c r="F65" s="244"/>
      <c r="G65" s="244"/>
      <c r="H65" s="244"/>
      <c r="I65"/>
      <c r="J65"/>
      <c r="K65"/>
      <c r="L65" s="245"/>
      <c r="N65" s="245"/>
      <c r="O65"/>
      <c r="P65"/>
      <c r="Q65"/>
      <c r="R65" s="245"/>
    </row>
    <row r="66" spans="5:18">
      <c r="E66" s="244"/>
      <c r="F66" s="244"/>
      <c r="G66" s="244"/>
      <c r="H66" s="244"/>
      <c r="I66"/>
      <c r="J66"/>
      <c r="K66"/>
      <c r="L66"/>
      <c r="N66" s="245"/>
      <c r="O66"/>
      <c r="P66"/>
      <c r="Q66"/>
      <c r="R66"/>
    </row>
    <row r="67" spans="5:18">
      <c r="E67" s="244"/>
      <c r="F67" s="244"/>
      <c r="G67" s="244"/>
      <c r="H67" s="244"/>
      <c r="I67"/>
      <c r="J67"/>
      <c r="K67"/>
      <c r="L67"/>
      <c r="N67" s="245"/>
      <c r="O67"/>
      <c r="P67"/>
      <c r="Q67"/>
      <c r="R67"/>
    </row>
    <row r="68" spans="5:18">
      <c r="E68" s="244"/>
      <c r="F68" s="244"/>
      <c r="G68" s="244"/>
      <c r="H68" s="244"/>
      <c r="I68"/>
      <c r="J68"/>
      <c r="K68"/>
      <c r="L68" s="245"/>
      <c r="N68" s="245"/>
      <c r="O68"/>
      <c r="P68"/>
      <c r="Q68"/>
      <c r="R68" s="245"/>
    </row>
    <row r="69" spans="5:18">
      <c r="E69" s="244"/>
      <c r="F69" s="244"/>
      <c r="G69" s="244"/>
      <c r="H69" s="244"/>
      <c r="I69"/>
      <c r="J69"/>
      <c r="K69"/>
      <c r="L69" s="245"/>
      <c r="N69" s="245"/>
      <c r="O69"/>
      <c r="P69"/>
      <c r="Q69"/>
      <c r="R69" s="245"/>
    </row>
    <row r="70" spans="5:18">
      <c r="E70" s="244"/>
      <c r="F70" s="244"/>
      <c r="G70" s="244"/>
      <c r="H70" s="244"/>
      <c r="I70"/>
      <c r="J70"/>
      <c r="K70"/>
      <c r="L70" s="245"/>
      <c r="N70" s="245"/>
      <c r="O70"/>
      <c r="P70"/>
      <c r="Q70"/>
      <c r="R70" s="245"/>
    </row>
    <row r="71" spans="5:18">
      <c r="E71" s="244"/>
      <c r="F71" s="244"/>
      <c r="G71" s="244"/>
      <c r="H71" s="244"/>
      <c r="I71"/>
      <c r="J71"/>
      <c r="K71"/>
      <c r="L71" s="245"/>
      <c r="N71" s="245"/>
      <c r="O71"/>
      <c r="P71"/>
      <c r="Q71"/>
      <c r="R71" s="245"/>
    </row>
    <row r="72" spans="5:18">
      <c r="E72" s="244"/>
      <c r="F72" s="244"/>
      <c r="G72" s="244"/>
      <c r="H72" s="244"/>
      <c r="I72"/>
      <c r="J72"/>
      <c r="K72"/>
      <c r="L72" s="245"/>
      <c r="N72" s="245"/>
      <c r="O72"/>
      <c r="P72"/>
      <c r="Q72"/>
      <c r="R72" s="245"/>
    </row>
    <row r="73" spans="5:18">
      <c r="E73" s="244"/>
      <c r="F73" s="244"/>
      <c r="G73" s="244"/>
      <c r="H73" s="244"/>
      <c r="I73"/>
      <c r="J73"/>
      <c r="K73"/>
      <c r="L73" s="245"/>
      <c r="N73" s="245"/>
      <c r="O73"/>
      <c r="P73"/>
      <c r="Q73"/>
      <c r="R73" s="245"/>
    </row>
    <row r="74" spans="5:18">
      <c r="E74" s="244"/>
      <c r="F74" s="244"/>
      <c r="G74" s="244"/>
      <c r="H74" s="244"/>
      <c r="I74"/>
      <c r="J74"/>
      <c r="K74"/>
      <c r="L74" s="245"/>
      <c r="N74" s="245"/>
      <c r="O74"/>
      <c r="P74"/>
      <c r="Q74"/>
      <c r="R74" s="245"/>
    </row>
    <row r="75" spans="5:18">
      <c r="E75" s="244"/>
      <c r="F75" s="244"/>
      <c r="G75" s="244"/>
      <c r="H75" s="244"/>
      <c r="I75"/>
      <c r="J75"/>
      <c r="K75"/>
      <c r="L75" s="245"/>
      <c r="N75" s="245"/>
      <c r="O75"/>
      <c r="P75"/>
      <c r="Q75"/>
      <c r="R75" s="245"/>
    </row>
    <row r="76" spans="5:18">
      <c r="E76" s="244"/>
      <c r="F76" s="244"/>
      <c r="G76" s="244"/>
      <c r="H76" s="244"/>
      <c r="I76"/>
      <c r="J76"/>
      <c r="K76"/>
      <c r="L76" s="245"/>
      <c r="N76" s="245"/>
      <c r="O76"/>
      <c r="P76"/>
      <c r="Q76"/>
      <c r="R76" s="245"/>
    </row>
    <row r="77" spans="5:18">
      <c r="E77" s="244"/>
      <c r="F77" s="244"/>
      <c r="G77" s="244"/>
      <c r="H77" s="244"/>
      <c r="I77"/>
      <c r="J77"/>
      <c r="K77"/>
      <c r="L77" s="245"/>
      <c r="N77" s="245"/>
      <c r="O77"/>
      <c r="P77"/>
      <c r="Q77"/>
      <c r="R77" s="245"/>
    </row>
    <row r="78" spans="5:18">
      <c r="E78" s="244"/>
      <c r="F78" s="244"/>
      <c r="G78" s="244"/>
      <c r="H78" s="244"/>
      <c r="I78"/>
      <c r="J78"/>
      <c r="K78"/>
      <c r="L78"/>
      <c r="N78" s="245"/>
      <c r="O78"/>
      <c r="P78"/>
      <c r="Q78"/>
      <c r="R78"/>
    </row>
    <row r="79" spans="5:18">
      <c r="E79" s="244"/>
      <c r="F79" s="244"/>
      <c r="G79" s="244"/>
      <c r="H79" s="244"/>
      <c r="I79"/>
      <c r="J79"/>
      <c r="K79"/>
      <c r="L79" s="245"/>
      <c r="N79" s="245"/>
      <c r="O79"/>
      <c r="P79"/>
      <c r="Q79"/>
      <c r="R79" s="245"/>
    </row>
    <row r="80" spans="5:18">
      <c r="E80" s="244"/>
      <c r="F80" s="244"/>
      <c r="G80" s="244"/>
      <c r="H80" s="244"/>
      <c r="I80"/>
      <c r="J80"/>
      <c r="K80"/>
      <c r="L80" s="245"/>
      <c r="N80" s="245"/>
      <c r="O80"/>
      <c r="P80"/>
      <c r="Q80"/>
      <c r="R80" s="245"/>
    </row>
    <row r="81" spans="5:18">
      <c r="E81" s="244"/>
      <c r="F81" s="244"/>
      <c r="G81" s="244"/>
      <c r="H81" s="244"/>
      <c r="I81"/>
      <c r="J81"/>
      <c r="K81"/>
      <c r="L81"/>
      <c r="N81" s="245"/>
      <c r="O81"/>
      <c r="P81"/>
      <c r="Q81"/>
      <c r="R81"/>
    </row>
    <row r="82" spans="5:18">
      <c r="E82" s="244"/>
      <c r="F82" s="244"/>
      <c r="G82" s="244"/>
      <c r="H82" s="244"/>
      <c r="I82"/>
      <c r="J82"/>
      <c r="K82"/>
      <c r="L82" s="245"/>
      <c r="N82" s="245"/>
      <c r="O82"/>
      <c r="P82"/>
      <c r="Q82"/>
      <c r="R82" s="245"/>
    </row>
    <row r="83" spans="5:18">
      <c r="E83" s="244"/>
      <c r="F83" s="244"/>
      <c r="G83" s="244"/>
      <c r="H83" s="244"/>
      <c r="I83"/>
      <c r="J83"/>
      <c r="K83"/>
      <c r="L83"/>
      <c r="N83" s="245"/>
      <c r="O83"/>
      <c r="P83"/>
      <c r="Q83"/>
      <c r="R83"/>
    </row>
    <row r="84" spans="5:18">
      <c r="E84" s="244"/>
      <c r="F84" s="244"/>
      <c r="G84" s="244"/>
      <c r="H84" s="244"/>
      <c r="I84"/>
      <c r="J84"/>
      <c r="K84"/>
      <c r="L84"/>
      <c r="N84" s="245"/>
      <c r="O84"/>
      <c r="P84"/>
      <c r="Q84"/>
      <c r="R84"/>
    </row>
    <row r="85" spans="5:18">
      <c r="E85" s="244"/>
      <c r="F85" s="244"/>
      <c r="G85" s="244"/>
      <c r="H85" s="244"/>
      <c r="I85"/>
      <c r="J85"/>
      <c r="K85"/>
      <c r="L85" s="245"/>
      <c r="N85" s="245"/>
      <c r="O85"/>
      <c r="P85"/>
      <c r="Q85"/>
      <c r="R85" s="245"/>
    </row>
    <row r="86" spans="5:18">
      <c r="E86" s="244"/>
      <c r="F86" s="244"/>
      <c r="G86" s="244"/>
      <c r="H86" s="244"/>
      <c r="I86"/>
      <c r="J86"/>
      <c r="K86"/>
      <c r="L86" s="245"/>
      <c r="N86" s="245"/>
      <c r="O86"/>
      <c r="P86"/>
      <c r="Q86"/>
      <c r="R86" s="245"/>
    </row>
    <row r="87" spans="5:18">
      <c r="E87" s="244"/>
      <c r="F87" s="244"/>
      <c r="G87" s="244"/>
      <c r="H87" s="244"/>
      <c r="I87"/>
      <c r="J87"/>
      <c r="K87"/>
      <c r="L87" s="245"/>
      <c r="N87" s="245"/>
      <c r="O87"/>
      <c r="P87"/>
      <c r="Q87"/>
      <c r="R87" s="245"/>
    </row>
    <row r="88" spans="5:18">
      <c r="E88" s="244"/>
      <c r="F88" s="244"/>
      <c r="G88" s="244"/>
      <c r="H88" s="244"/>
      <c r="I88"/>
      <c r="J88"/>
      <c r="K88"/>
      <c r="L88"/>
      <c r="N88" s="245"/>
      <c r="O88"/>
      <c r="P88"/>
      <c r="Q88"/>
      <c r="R88"/>
    </row>
    <row r="89" spans="5:18">
      <c r="E89" s="244"/>
      <c r="F89" s="244"/>
      <c r="G89" s="244"/>
      <c r="H89" s="244"/>
      <c r="I89"/>
      <c r="J89"/>
      <c r="K89"/>
      <c r="L89" s="245"/>
      <c r="N89" s="245"/>
      <c r="O89"/>
      <c r="P89"/>
      <c r="Q89"/>
      <c r="R89" s="245"/>
    </row>
    <row r="90" spans="5:18">
      <c r="E90" s="244"/>
      <c r="F90" s="244"/>
      <c r="G90" s="244"/>
      <c r="H90" s="244"/>
      <c r="I90"/>
      <c r="J90"/>
      <c r="K90"/>
      <c r="L90"/>
      <c r="N90" s="245"/>
      <c r="O90"/>
      <c r="P90"/>
      <c r="Q90"/>
      <c r="R90"/>
    </row>
    <row r="91" spans="5:18">
      <c r="E91" s="244"/>
      <c r="F91" s="244"/>
      <c r="G91" s="244"/>
      <c r="H91" s="244"/>
      <c r="I91"/>
      <c r="J91"/>
      <c r="K91"/>
      <c r="L91" s="245"/>
      <c r="N91" s="245"/>
      <c r="O91"/>
      <c r="P91"/>
      <c r="Q91"/>
      <c r="R91" s="245"/>
    </row>
    <row r="92" spans="5:18">
      <c r="E92" s="244"/>
      <c r="F92" s="244"/>
      <c r="G92" s="244"/>
      <c r="H92" s="244"/>
      <c r="I92"/>
      <c r="J92"/>
      <c r="K92"/>
      <c r="L92" s="245"/>
      <c r="N92" s="245"/>
      <c r="O92"/>
      <c r="P92"/>
      <c r="Q92"/>
      <c r="R92" s="245"/>
    </row>
    <row r="93" spans="5:18">
      <c r="E93" s="244"/>
      <c r="F93" s="244"/>
      <c r="G93" s="244"/>
      <c r="H93" s="244"/>
      <c r="I93"/>
      <c r="J93"/>
      <c r="K93"/>
      <c r="L93" s="245"/>
      <c r="N93" s="245"/>
      <c r="O93"/>
      <c r="P93"/>
      <c r="Q93"/>
      <c r="R93" s="245"/>
    </row>
    <row r="94" spans="5:18">
      <c r="E94" s="244"/>
      <c r="F94" s="244"/>
      <c r="G94" s="244"/>
      <c r="H94" s="244"/>
      <c r="I94"/>
      <c r="J94"/>
      <c r="K94"/>
      <c r="L94"/>
      <c r="N94" s="245"/>
      <c r="O94"/>
      <c r="P94"/>
      <c r="Q94"/>
      <c r="R94"/>
    </row>
    <row r="95" spans="5:18">
      <c r="E95" s="244"/>
      <c r="F95" s="244"/>
      <c r="G95" s="244"/>
      <c r="H95" s="244"/>
      <c r="I95"/>
      <c r="J95"/>
      <c r="K95"/>
      <c r="L95" s="245"/>
      <c r="N95" s="245"/>
      <c r="O95"/>
      <c r="P95"/>
      <c r="Q95"/>
      <c r="R95" s="245"/>
    </row>
    <row r="96" spans="5:18">
      <c r="E96" s="244"/>
      <c r="F96" s="244"/>
      <c r="G96" s="244"/>
      <c r="H96" s="244"/>
      <c r="I96"/>
      <c r="J96"/>
      <c r="K96"/>
      <c r="L96" s="245"/>
      <c r="N96" s="245"/>
      <c r="O96"/>
      <c r="P96"/>
      <c r="Q96"/>
      <c r="R96" s="245"/>
    </row>
    <row r="97" spans="5:18">
      <c r="E97" s="244"/>
      <c r="F97" s="244"/>
      <c r="G97" s="244"/>
      <c r="H97" s="244"/>
      <c r="I97"/>
      <c r="J97"/>
      <c r="K97"/>
      <c r="L97" s="245"/>
      <c r="N97" s="245"/>
      <c r="O97"/>
      <c r="P97"/>
      <c r="Q97"/>
      <c r="R97" s="245"/>
    </row>
    <row r="98" spans="5:18">
      <c r="E98" s="244"/>
      <c r="F98" s="244"/>
      <c r="G98" s="244"/>
      <c r="H98" s="244"/>
      <c r="I98"/>
      <c r="J98"/>
      <c r="K98"/>
      <c r="L98"/>
      <c r="N98" s="245"/>
      <c r="O98"/>
      <c r="P98"/>
      <c r="Q98"/>
      <c r="R98"/>
    </row>
    <row r="99" spans="5:18">
      <c r="E99" s="244"/>
      <c r="F99" s="244"/>
      <c r="G99" s="244"/>
      <c r="H99" s="244"/>
      <c r="I99"/>
      <c r="J99"/>
      <c r="K99"/>
      <c r="L99" s="245"/>
      <c r="N99" s="245"/>
      <c r="O99"/>
      <c r="P99"/>
      <c r="Q99"/>
      <c r="R99" s="245"/>
    </row>
    <row r="100" spans="5:18">
      <c r="E100" s="244"/>
      <c r="F100" s="244"/>
      <c r="G100" s="244"/>
      <c r="H100" s="244"/>
      <c r="I100"/>
      <c r="J100"/>
      <c r="K100"/>
      <c r="L100"/>
      <c r="N100" s="245"/>
      <c r="O100"/>
      <c r="P100"/>
      <c r="Q100"/>
      <c r="R100"/>
    </row>
    <row r="101" spans="5:18">
      <c r="E101" s="244"/>
      <c r="F101" s="244"/>
      <c r="G101" s="244"/>
      <c r="H101" s="244"/>
      <c r="I101"/>
      <c r="J101"/>
      <c r="K101"/>
      <c r="L101"/>
      <c r="N101" s="245"/>
      <c r="O101"/>
      <c r="P101"/>
      <c r="Q101"/>
      <c r="R101"/>
    </row>
    <row r="102" spans="5:18">
      <c r="E102" s="244"/>
      <c r="F102" s="244"/>
      <c r="G102" s="244"/>
      <c r="H102" s="244"/>
      <c r="I102"/>
      <c r="J102"/>
      <c r="K102"/>
      <c r="L102"/>
      <c r="N102" s="245"/>
      <c r="O102"/>
      <c r="P102"/>
      <c r="Q102"/>
      <c r="R102"/>
    </row>
    <row r="103" spans="5:18">
      <c r="E103" s="244"/>
      <c r="F103" s="244"/>
      <c r="G103" s="244"/>
      <c r="H103" s="244"/>
      <c r="I103"/>
      <c r="J103"/>
      <c r="K103"/>
      <c r="L103" s="245"/>
      <c r="N103" s="245"/>
      <c r="O103"/>
      <c r="P103"/>
      <c r="Q103"/>
      <c r="R103" s="245"/>
    </row>
    <row r="104" spans="5:18">
      <c r="E104" s="244"/>
      <c r="F104" s="244"/>
      <c r="G104" s="244"/>
      <c r="H104" s="244"/>
      <c r="I104"/>
      <c r="J104"/>
      <c r="K104"/>
      <c r="L104" s="245"/>
      <c r="N104" s="245"/>
      <c r="O104"/>
      <c r="P104"/>
      <c r="Q104"/>
      <c r="R104" s="245"/>
    </row>
    <row r="105" spans="5:18">
      <c r="E105" s="244"/>
      <c r="F105" s="244"/>
      <c r="G105" s="244"/>
      <c r="H105" s="244"/>
      <c r="I105"/>
      <c r="J105"/>
      <c r="K105"/>
      <c r="L105"/>
      <c r="N105" s="245"/>
      <c r="O105"/>
      <c r="P105"/>
      <c r="Q105"/>
      <c r="R105"/>
    </row>
    <row r="106" spans="5:18">
      <c r="E106" s="244"/>
      <c r="F106" s="244"/>
      <c r="G106" s="244"/>
      <c r="H106" s="244"/>
      <c r="I106"/>
      <c r="J106"/>
      <c r="K106"/>
      <c r="L106" s="245"/>
      <c r="N106" s="245"/>
      <c r="O106"/>
      <c r="P106"/>
      <c r="Q106"/>
      <c r="R106" s="245"/>
    </row>
    <row r="107" spans="5:18">
      <c r="E107" s="244"/>
      <c r="F107" s="244"/>
      <c r="G107" s="244"/>
      <c r="H107" s="244"/>
      <c r="I107"/>
      <c r="J107"/>
      <c r="K107"/>
      <c r="L107"/>
      <c r="N107" s="245"/>
      <c r="O107"/>
      <c r="P107"/>
      <c r="Q107"/>
      <c r="R107"/>
    </row>
    <row r="108" spans="5:18">
      <c r="E108" s="244"/>
      <c r="F108" s="244"/>
      <c r="G108" s="244"/>
      <c r="H108" s="244"/>
      <c r="I108"/>
      <c r="J108"/>
      <c r="K108"/>
      <c r="L108"/>
      <c r="N108" s="245"/>
      <c r="O108"/>
      <c r="P108"/>
      <c r="Q108"/>
      <c r="R108"/>
    </row>
    <row r="109" spans="5:18">
      <c r="E109" s="244"/>
      <c r="F109" s="244"/>
      <c r="G109" s="244"/>
      <c r="H109" s="244"/>
      <c r="I109"/>
      <c r="J109"/>
      <c r="K109"/>
      <c r="L109" s="245"/>
      <c r="N109" s="245"/>
      <c r="O109"/>
      <c r="P109"/>
      <c r="Q109"/>
      <c r="R109" s="245"/>
    </row>
    <row r="110" spans="5:18">
      <c r="E110" s="244"/>
      <c r="F110" s="244"/>
      <c r="G110" s="244"/>
      <c r="H110" s="244"/>
      <c r="I110"/>
      <c r="J110"/>
      <c r="K110"/>
      <c r="L110" s="245"/>
      <c r="N110" s="245"/>
      <c r="O110"/>
      <c r="P110"/>
      <c r="Q110"/>
      <c r="R110" s="245"/>
    </row>
    <row r="111" spans="5:18">
      <c r="E111" s="244"/>
      <c r="F111" s="244"/>
      <c r="G111" s="244"/>
      <c r="H111" s="244"/>
      <c r="I111"/>
      <c r="J111"/>
      <c r="K111"/>
      <c r="L111"/>
      <c r="N111" s="245"/>
      <c r="O111"/>
      <c r="P111"/>
      <c r="Q111"/>
      <c r="R111"/>
    </row>
    <row r="112" spans="5:18">
      <c r="E112" s="244"/>
      <c r="F112" s="244"/>
      <c r="G112" s="244"/>
      <c r="H112" s="244"/>
      <c r="I112"/>
      <c r="J112"/>
      <c r="K112"/>
      <c r="L112" s="245"/>
      <c r="N112" s="245"/>
      <c r="O112"/>
      <c r="P112"/>
      <c r="Q112"/>
      <c r="R112" s="245"/>
    </row>
    <row r="113" spans="5:18">
      <c r="E113" s="244"/>
      <c r="F113" s="244"/>
      <c r="G113" s="244"/>
      <c r="H113" s="244"/>
      <c r="I113"/>
      <c r="J113"/>
      <c r="K113"/>
      <c r="L113"/>
      <c r="N113" s="245"/>
      <c r="O113"/>
      <c r="P113"/>
      <c r="Q113"/>
      <c r="R113"/>
    </row>
    <row r="114" spans="5:18">
      <c r="E114" s="244"/>
      <c r="F114" s="244"/>
      <c r="G114" s="244"/>
      <c r="H114" s="244"/>
      <c r="I114"/>
      <c r="J114"/>
      <c r="K114"/>
      <c r="L114" s="245"/>
      <c r="N114" s="245"/>
      <c r="O114"/>
      <c r="P114"/>
      <c r="Q114"/>
      <c r="R114" s="245"/>
    </row>
    <row r="115" spans="5:18">
      <c r="E115" s="244"/>
      <c r="F115" s="244"/>
      <c r="G115" s="244"/>
      <c r="H115" s="244"/>
      <c r="I115"/>
      <c r="J115"/>
      <c r="K115"/>
      <c r="L115" s="245"/>
      <c r="N115" s="245"/>
      <c r="O115"/>
      <c r="P115"/>
      <c r="Q115"/>
      <c r="R115" s="245"/>
    </row>
    <row r="116" spans="5:18">
      <c r="E116" s="244"/>
      <c r="F116" s="244"/>
      <c r="G116" s="244"/>
      <c r="H116" s="244"/>
      <c r="I116"/>
      <c r="J116"/>
      <c r="K116"/>
      <c r="L116" s="245"/>
      <c r="N116" s="245"/>
      <c r="O116"/>
      <c r="P116"/>
      <c r="Q116"/>
      <c r="R116" s="245"/>
    </row>
    <row r="117" spans="5:18">
      <c r="E117" s="244"/>
      <c r="F117" s="244"/>
      <c r="G117" s="244"/>
      <c r="H117" s="244"/>
      <c r="I117"/>
      <c r="J117"/>
      <c r="K117"/>
      <c r="L117" s="245"/>
      <c r="N117" s="245"/>
      <c r="O117"/>
      <c r="P117"/>
      <c r="Q117"/>
      <c r="R117" s="245"/>
    </row>
    <row r="118" spans="5:18">
      <c r="E118" s="244"/>
      <c r="F118" s="244"/>
      <c r="G118" s="244"/>
      <c r="H118" s="244"/>
      <c r="I118"/>
      <c r="J118"/>
      <c r="K118"/>
      <c r="L118" s="245"/>
      <c r="N118" s="245"/>
      <c r="O118"/>
      <c r="P118"/>
      <c r="Q118"/>
      <c r="R118" s="245"/>
    </row>
    <row r="119" spans="5:18">
      <c r="E119" s="244"/>
      <c r="F119" s="244"/>
      <c r="G119" s="244"/>
      <c r="H119" s="244"/>
      <c r="I119"/>
      <c r="J119"/>
      <c r="K119"/>
      <c r="L119"/>
      <c r="N119" s="245"/>
      <c r="O119"/>
      <c r="P119"/>
      <c r="Q119"/>
      <c r="R119"/>
    </row>
    <row r="120" spans="5:18">
      <c r="E120" s="244"/>
      <c r="F120" s="244"/>
      <c r="G120" s="244"/>
      <c r="H120" s="244"/>
      <c r="I120"/>
      <c r="J120"/>
      <c r="K120"/>
      <c r="L120" s="245"/>
      <c r="N120" s="245"/>
      <c r="O120"/>
      <c r="P120"/>
      <c r="Q120"/>
      <c r="R120" s="245"/>
    </row>
    <row r="121" spans="5:18">
      <c r="E121" s="244"/>
      <c r="F121" s="244"/>
      <c r="G121" s="244"/>
      <c r="H121" s="244"/>
      <c r="I121"/>
      <c r="J121"/>
      <c r="K121"/>
      <c r="L121"/>
      <c r="N121" s="245"/>
      <c r="O121"/>
      <c r="P121"/>
      <c r="Q121"/>
      <c r="R121"/>
    </row>
    <row r="122" spans="5:18">
      <c r="E122" s="244"/>
      <c r="F122" s="244"/>
      <c r="G122" s="244"/>
      <c r="H122" s="244"/>
      <c r="I122"/>
      <c r="J122"/>
      <c r="K122"/>
      <c r="L122" s="245"/>
      <c r="N122" s="245"/>
      <c r="O122"/>
      <c r="P122"/>
      <c r="Q122"/>
      <c r="R122" s="245"/>
    </row>
    <row r="123" spans="5:18">
      <c r="E123" s="244"/>
      <c r="F123" s="244"/>
      <c r="G123" s="244"/>
      <c r="H123" s="244"/>
      <c r="I123"/>
      <c r="J123"/>
      <c r="K123"/>
      <c r="L123" s="245"/>
      <c r="N123" s="245"/>
      <c r="O123"/>
      <c r="P123"/>
      <c r="Q123"/>
      <c r="R123" s="245"/>
    </row>
    <row r="124" spans="5:18">
      <c r="E124" s="244"/>
      <c r="F124" s="244"/>
      <c r="G124" s="244"/>
      <c r="H124" s="244"/>
      <c r="I124"/>
      <c r="J124"/>
      <c r="K124"/>
      <c r="L124" s="245"/>
      <c r="N124" s="245"/>
      <c r="O124"/>
      <c r="P124"/>
      <c r="Q124"/>
      <c r="R124" s="245"/>
    </row>
    <row r="125" spans="5:18">
      <c r="E125" s="244"/>
      <c r="F125" s="244"/>
      <c r="G125" s="244"/>
      <c r="H125" s="244"/>
      <c r="I125"/>
      <c r="J125"/>
      <c r="K125"/>
      <c r="L125" s="245"/>
      <c r="N125" s="245"/>
      <c r="O125"/>
      <c r="P125"/>
      <c r="Q125"/>
      <c r="R125" s="245"/>
    </row>
    <row r="126" spans="5:18">
      <c r="E126" s="244"/>
      <c r="F126" s="244"/>
      <c r="G126" s="244"/>
      <c r="H126" s="244"/>
      <c r="I126"/>
      <c r="J126"/>
      <c r="K126"/>
      <c r="L126"/>
      <c r="N126" s="245"/>
      <c r="O126"/>
      <c r="P126"/>
      <c r="Q126"/>
      <c r="R126"/>
    </row>
    <row r="127" spans="5:18">
      <c r="E127" s="244"/>
      <c r="F127" s="244"/>
      <c r="G127" s="244"/>
      <c r="H127" s="244"/>
      <c r="I127"/>
      <c r="J127"/>
      <c r="K127"/>
      <c r="L127"/>
      <c r="N127" s="245"/>
      <c r="O127"/>
      <c r="P127"/>
      <c r="Q127"/>
      <c r="R127"/>
    </row>
    <row r="128" spans="5:18">
      <c r="E128" s="244"/>
      <c r="F128" s="244"/>
      <c r="G128" s="244"/>
      <c r="H128" s="244"/>
      <c r="I128"/>
      <c r="J128"/>
      <c r="K128"/>
      <c r="L128" s="245"/>
      <c r="N128" s="245"/>
      <c r="O128"/>
      <c r="P128"/>
      <c r="Q128"/>
      <c r="R128" s="245"/>
    </row>
    <row r="129" spans="5:18">
      <c r="E129" s="244"/>
      <c r="F129" s="244"/>
      <c r="G129" s="244"/>
      <c r="H129" s="244"/>
      <c r="I129"/>
      <c r="J129"/>
      <c r="K129"/>
      <c r="L129"/>
      <c r="N129" s="245"/>
      <c r="O129"/>
      <c r="P129"/>
      <c r="Q129"/>
      <c r="R129"/>
    </row>
    <row r="130" spans="5:18">
      <c r="E130" s="244"/>
      <c r="F130" s="244"/>
      <c r="G130" s="244"/>
      <c r="H130" s="244"/>
      <c r="I130"/>
      <c r="J130"/>
      <c r="K130"/>
      <c r="L130" s="245"/>
      <c r="N130" s="245"/>
      <c r="O130"/>
      <c r="P130"/>
      <c r="Q130"/>
      <c r="R130" s="245"/>
    </row>
    <row r="131" spans="5:18">
      <c r="E131" s="244"/>
      <c r="F131" s="244"/>
      <c r="G131" s="244"/>
      <c r="H131" s="244"/>
      <c r="I131"/>
      <c r="J131"/>
      <c r="K131"/>
      <c r="L131"/>
      <c r="N131" s="245"/>
      <c r="O131"/>
      <c r="P131"/>
      <c r="Q131"/>
      <c r="R131"/>
    </row>
    <row r="132" spans="5:18">
      <c r="E132" s="244"/>
      <c r="F132" s="244"/>
      <c r="G132" s="244"/>
      <c r="H132" s="244"/>
      <c r="I132"/>
      <c r="J132"/>
      <c r="K132"/>
      <c r="L132"/>
      <c r="N132" s="245"/>
      <c r="O132"/>
      <c r="P132"/>
      <c r="Q132"/>
      <c r="R132"/>
    </row>
    <row r="133" spans="5:18">
      <c r="E133" s="244"/>
      <c r="F133" s="244"/>
      <c r="G133" s="244"/>
      <c r="H133" s="244"/>
      <c r="I133"/>
      <c r="J133"/>
      <c r="K133"/>
      <c r="L133" s="245"/>
      <c r="N133" s="245"/>
      <c r="O133"/>
      <c r="P133"/>
      <c r="Q133"/>
      <c r="R133" s="245"/>
    </row>
    <row r="134" spans="5:18">
      <c r="E134" s="244"/>
      <c r="F134" s="244"/>
      <c r="G134" s="244"/>
      <c r="H134" s="244"/>
      <c r="I134"/>
      <c r="J134"/>
      <c r="K134"/>
      <c r="L134" s="245"/>
      <c r="N134" s="245"/>
      <c r="O134"/>
      <c r="P134"/>
      <c r="Q134"/>
      <c r="R134" s="245"/>
    </row>
    <row r="135" spans="5:18">
      <c r="E135" s="244"/>
      <c r="F135" s="244"/>
      <c r="G135" s="244"/>
      <c r="H135" s="244"/>
      <c r="I135"/>
      <c r="J135"/>
      <c r="K135"/>
      <c r="L135" s="245"/>
      <c r="N135" s="245"/>
      <c r="O135"/>
      <c r="P135"/>
      <c r="Q135"/>
      <c r="R135" s="245"/>
    </row>
    <row r="136" spans="5:18">
      <c r="E136" s="244"/>
      <c r="F136" s="244"/>
      <c r="G136" s="244"/>
      <c r="H136" s="244"/>
      <c r="I136"/>
      <c r="J136"/>
      <c r="K136"/>
      <c r="L136" s="245"/>
      <c r="N136" s="245"/>
      <c r="O136"/>
      <c r="P136"/>
      <c r="Q136"/>
      <c r="R136" s="245"/>
    </row>
    <row r="137" spans="5:18">
      <c r="E137" s="244"/>
      <c r="F137" s="244"/>
      <c r="G137" s="244"/>
      <c r="H137" s="244"/>
      <c r="I137"/>
      <c r="J137"/>
      <c r="K137"/>
      <c r="L137" s="245"/>
      <c r="N137" s="245"/>
      <c r="O137"/>
      <c r="P137"/>
      <c r="Q137"/>
      <c r="R137" s="245"/>
    </row>
    <row r="138" spans="5:18">
      <c r="E138" s="244"/>
      <c r="F138" s="244"/>
      <c r="G138" s="244"/>
      <c r="H138" s="244"/>
      <c r="I138"/>
      <c r="J138"/>
      <c r="K138"/>
      <c r="L138" s="245"/>
      <c r="N138" s="245"/>
      <c r="O138"/>
      <c r="P138"/>
      <c r="Q138"/>
      <c r="R138" s="245"/>
    </row>
    <row r="139" spans="5:18">
      <c r="E139" s="244"/>
      <c r="F139" s="244"/>
      <c r="G139" s="244"/>
      <c r="H139" s="244"/>
      <c r="I139"/>
      <c r="J139"/>
      <c r="K139"/>
      <c r="L139" s="245"/>
      <c r="N139" s="245"/>
      <c r="O139"/>
      <c r="P139"/>
      <c r="Q139"/>
      <c r="R139" s="245"/>
    </row>
    <row r="140" spans="5:18">
      <c r="E140" s="244"/>
      <c r="F140" s="244"/>
      <c r="G140" s="244"/>
      <c r="H140" s="244"/>
      <c r="I140"/>
      <c r="J140"/>
      <c r="K140"/>
      <c r="L140" s="245"/>
      <c r="N140" s="245"/>
      <c r="O140"/>
      <c r="P140"/>
      <c r="Q140"/>
      <c r="R140" s="245"/>
    </row>
    <row r="141" spans="5:18">
      <c r="E141" s="244"/>
      <c r="F141" s="244"/>
      <c r="G141" s="244"/>
      <c r="H141" s="244"/>
      <c r="I141"/>
      <c r="J141"/>
      <c r="K141"/>
      <c r="L141"/>
      <c r="N141" s="245"/>
      <c r="O141"/>
      <c r="P141"/>
      <c r="Q141"/>
      <c r="R141"/>
    </row>
    <row r="142" spans="5:18">
      <c r="E142" s="244"/>
      <c r="F142" s="244"/>
      <c r="G142" s="244"/>
      <c r="H142" s="244"/>
      <c r="I142"/>
      <c r="J142"/>
      <c r="K142"/>
      <c r="L142" s="245"/>
      <c r="N142" s="245"/>
      <c r="O142"/>
      <c r="P142"/>
      <c r="Q142"/>
      <c r="R142" s="245"/>
    </row>
    <row r="143" spans="5:18">
      <c r="E143" s="244"/>
      <c r="F143" s="244"/>
      <c r="G143" s="244"/>
      <c r="H143" s="244"/>
      <c r="I143"/>
      <c r="J143"/>
      <c r="K143"/>
      <c r="L143" s="245"/>
      <c r="N143" s="245"/>
      <c r="O143"/>
      <c r="P143"/>
      <c r="Q143"/>
      <c r="R143" s="245"/>
    </row>
    <row r="144" spans="5:18">
      <c r="E144" s="244"/>
      <c r="F144" s="244"/>
      <c r="G144" s="244"/>
      <c r="H144" s="244"/>
      <c r="I144"/>
      <c r="J144"/>
      <c r="K144"/>
      <c r="L144"/>
      <c r="N144" s="245"/>
      <c r="O144"/>
      <c r="P144"/>
      <c r="Q144"/>
      <c r="R144"/>
    </row>
    <row r="145" spans="5:18">
      <c r="E145" s="244"/>
      <c r="F145" s="244"/>
      <c r="G145" s="244"/>
      <c r="H145" s="244"/>
      <c r="I145"/>
      <c r="J145"/>
      <c r="K145"/>
      <c r="L145" s="245"/>
      <c r="N145" s="245"/>
      <c r="O145"/>
      <c r="P145"/>
      <c r="Q145"/>
      <c r="R145" s="245"/>
    </row>
    <row r="146" spans="5:18">
      <c r="E146" s="244"/>
      <c r="F146" s="244"/>
      <c r="G146" s="244"/>
      <c r="H146" s="244"/>
      <c r="I146"/>
      <c r="J146"/>
      <c r="K146"/>
      <c r="L146" s="245"/>
      <c r="N146" s="245"/>
      <c r="O146"/>
      <c r="P146"/>
      <c r="Q146"/>
      <c r="R146" s="245"/>
    </row>
    <row r="147" spans="5:18">
      <c r="E147" s="244"/>
      <c r="F147" s="244"/>
      <c r="G147" s="244"/>
      <c r="H147" s="244"/>
      <c r="I147"/>
      <c r="J147"/>
      <c r="K147"/>
      <c r="L147" s="245"/>
      <c r="N147" s="245"/>
      <c r="O147"/>
      <c r="P147"/>
      <c r="Q147"/>
      <c r="R147" s="245"/>
    </row>
    <row r="148" spans="5:18">
      <c r="E148" s="244"/>
      <c r="F148" s="244"/>
      <c r="G148" s="244"/>
      <c r="H148" s="244"/>
      <c r="I148"/>
      <c r="J148"/>
      <c r="K148"/>
      <c r="L148" s="245"/>
      <c r="N148" s="245"/>
      <c r="O148"/>
      <c r="P148"/>
      <c r="Q148"/>
      <c r="R148" s="245"/>
    </row>
    <row r="149" spans="5:18">
      <c r="E149" s="244"/>
      <c r="F149" s="244"/>
      <c r="G149" s="244"/>
      <c r="H149" s="244"/>
      <c r="I149"/>
      <c r="J149"/>
      <c r="K149"/>
      <c r="L149" s="245"/>
      <c r="N149" s="245"/>
      <c r="O149"/>
      <c r="P149"/>
      <c r="Q149"/>
      <c r="R149" s="245"/>
    </row>
    <row r="150" spans="5:18">
      <c r="E150" s="244"/>
      <c r="F150" s="244"/>
      <c r="G150" s="244"/>
      <c r="H150" s="244"/>
      <c r="I150"/>
      <c r="J150"/>
      <c r="K150"/>
      <c r="L150" s="245"/>
      <c r="N150" s="245"/>
      <c r="O150"/>
      <c r="P150"/>
      <c r="Q150"/>
      <c r="R150" s="245"/>
    </row>
    <row r="151" spans="5:18">
      <c r="E151" s="244"/>
      <c r="F151" s="244"/>
      <c r="G151" s="244"/>
      <c r="H151" s="244"/>
      <c r="I151"/>
      <c r="J151"/>
      <c r="K151"/>
      <c r="L151" s="245"/>
      <c r="N151" s="245"/>
      <c r="O151"/>
      <c r="P151"/>
      <c r="Q151"/>
      <c r="R151" s="245"/>
    </row>
    <row r="152" spans="5:18">
      <c r="E152" s="244"/>
      <c r="F152" s="244"/>
      <c r="G152" s="244"/>
      <c r="H152" s="244"/>
      <c r="I152"/>
      <c r="J152"/>
      <c r="K152"/>
      <c r="L152"/>
      <c r="N152" s="245"/>
      <c r="O152"/>
      <c r="P152"/>
      <c r="Q152"/>
      <c r="R152"/>
    </row>
    <row r="153" spans="5:18">
      <c r="E153" s="244"/>
      <c r="F153" s="244"/>
      <c r="G153" s="244"/>
      <c r="H153" s="244"/>
      <c r="I153"/>
      <c r="J153"/>
      <c r="K153"/>
      <c r="L153"/>
      <c r="N153" s="245"/>
      <c r="O153"/>
      <c r="P153"/>
      <c r="Q153"/>
      <c r="R153"/>
    </row>
    <row r="154" spans="5:18">
      <c r="E154" s="244"/>
      <c r="F154" s="244"/>
      <c r="G154" s="244"/>
      <c r="H154" s="244"/>
      <c r="I154"/>
      <c r="J154"/>
      <c r="K154"/>
      <c r="L154" s="245"/>
      <c r="N154" s="245"/>
      <c r="O154"/>
      <c r="P154"/>
      <c r="Q154"/>
      <c r="R154" s="245"/>
    </row>
    <row r="155" spans="5:18">
      <c r="E155" s="244"/>
      <c r="F155" s="244"/>
      <c r="G155" s="244"/>
      <c r="H155" s="244"/>
      <c r="I155"/>
      <c r="J155"/>
      <c r="K155"/>
      <c r="L155"/>
      <c r="N155" s="245"/>
      <c r="O155"/>
      <c r="P155"/>
      <c r="Q155"/>
      <c r="R155"/>
    </row>
    <row r="156" spans="5:18">
      <c r="E156" s="244"/>
      <c r="F156" s="244"/>
      <c r="G156" s="244"/>
      <c r="H156" s="244"/>
      <c r="I156"/>
      <c r="J156"/>
      <c r="K156"/>
      <c r="L156" s="245"/>
      <c r="N156" s="245"/>
      <c r="O156"/>
      <c r="P156"/>
      <c r="Q156"/>
      <c r="R156" s="245"/>
    </row>
    <row r="157" spans="5:18">
      <c r="E157" s="244"/>
      <c r="F157" s="244"/>
      <c r="G157" s="244"/>
      <c r="H157" s="244"/>
      <c r="I157"/>
      <c r="J157"/>
      <c r="K157"/>
      <c r="L157"/>
      <c r="N157" s="245"/>
      <c r="O157"/>
      <c r="P157"/>
      <c r="Q157"/>
      <c r="R157"/>
    </row>
    <row r="158" spans="5:18">
      <c r="E158" s="244"/>
      <c r="F158" s="244"/>
      <c r="G158" s="244"/>
      <c r="H158" s="244"/>
      <c r="I158"/>
      <c r="J158"/>
      <c r="K158"/>
      <c r="L158" s="245"/>
      <c r="N158" s="245"/>
      <c r="O158"/>
      <c r="P158"/>
      <c r="Q158"/>
      <c r="R158" s="245"/>
    </row>
    <row r="159" spans="5:18">
      <c r="E159" s="244"/>
      <c r="F159" s="244"/>
      <c r="G159" s="244"/>
      <c r="H159" s="244"/>
      <c r="I159"/>
      <c r="J159"/>
      <c r="K159"/>
      <c r="L159" s="245"/>
      <c r="N159" s="245"/>
      <c r="O159"/>
      <c r="P159"/>
      <c r="Q159"/>
      <c r="R159" s="245"/>
    </row>
    <row r="160" spans="5:18">
      <c r="E160" s="244"/>
      <c r="F160" s="244"/>
      <c r="G160" s="244"/>
      <c r="H160" s="244"/>
      <c r="I160"/>
      <c r="J160"/>
      <c r="K160"/>
      <c r="L160" s="245"/>
      <c r="N160" s="245"/>
      <c r="O160"/>
      <c r="P160"/>
      <c r="Q160"/>
      <c r="R160" s="245"/>
    </row>
    <row r="161" spans="5:18">
      <c r="E161" s="244"/>
      <c r="F161" s="244"/>
      <c r="G161" s="244"/>
      <c r="H161" s="244"/>
      <c r="I161"/>
      <c r="J161"/>
      <c r="K161"/>
      <c r="L161"/>
      <c r="N161" s="245"/>
      <c r="O161"/>
      <c r="P161"/>
      <c r="Q161"/>
      <c r="R161"/>
    </row>
    <row r="162" spans="5:18">
      <c r="E162" s="244"/>
      <c r="F162" s="244"/>
      <c r="G162" s="244"/>
      <c r="H162" s="244"/>
      <c r="I162"/>
      <c r="J162"/>
      <c r="K162"/>
      <c r="L162" s="245"/>
      <c r="N162" s="245"/>
      <c r="O162"/>
      <c r="P162"/>
      <c r="Q162"/>
      <c r="R162" s="245"/>
    </row>
    <row r="163" spans="5:18">
      <c r="E163" s="244"/>
      <c r="F163" s="244"/>
      <c r="G163" s="244"/>
      <c r="H163" s="244"/>
      <c r="I163"/>
      <c r="J163"/>
      <c r="K163"/>
      <c r="L163"/>
      <c r="N163" s="245"/>
      <c r="O163"/>
      <c r="P163"/>
      <c r="Q163"/>
      <c r="R163"/>
    </row>
    <row r="164" spans="5:18">
      <c r="E164" s="244"/>
      <c r="F164" s="244"/>
      <c r="G164" s="244"/>
      <c r="H164" s="244"/>
      <c r="I164"/>
      <c r="J164"/>
      <c r="K164"/>
      <c r="L164"/>
      <c r="N164" s="245"/>
      <c r="O164"/>
      <c r="P164"/>
      <c r="Q164"/>
      <c r="R164"/>
    </row>
    <row r="165" spans="5:18">
      <c r="E165" s="244"/>
      <c r="F165" s="244"/>
      <c r="G165" s="244"/>
      <c r="H165" s="244"/>
      <c r="I165"/>
      <c r="J165"/>
      <c r="K165"/>
      <c r="L165" s="245"/>
      <c r="N165" s="245"/>
      <c r="O165"/>
      <c r="P165"/>
      <c r="Q165"/>
      <c r="R165" s="245"/>
    </row>
    <row r="166" spans="5:18">
      <c r="E166" s="244"/>
      <c r="F166" s="244"/>
      <c r="G166" s="244"/>
      <c r="H166" s="244"/>
      <c r="I166"/>
      <c r="J166"/>
      <c r="K166"/>
      <c r="L166" s="245"/>
      <c r="N166" s="245"/>
      <c r="O166"/>
      <c r="P166"/>
      <c r="Q166"/>
      <c r="R166" s="245"/>
    </row>
    <row r="167" spans="5:18">
      <c r="E167" s="244"/>
      <c r="F167" s="244"/>
      <c r="G167" s="244"/>
      <c r="H167" s="244"/>
      <c r="I167"/>
      <c r="J167"/>
      <c r="K167"/>
      <c r="L167"/>
      <c r="N167" s="245"/>
      <c r="O167"/>
      <c r="P167"/>
      <c r="Q167"/>
      <c r="R167"/>
    </row>
    <row r="168" spans="5:18">
      <c r="E168" s="244"/>
      <c r="F168" s="244"/>
      <c r="G168" s="244"/>
      <c r="H168" s="244"/>
      <c r="I168"/>
      <c r="J168"/>
      <c r="K168"/>
      <c r="L168" s="245"/>
      <c r="N168" s="245"/>
      <c r="O168"/>
      <c r="P168"/>
      <c r="Q168"/>
      <c r="R168" s="245"/>
    </row>
    <row r="169" spans="5:18">
      <c r="E169" s="244"/>
      <c r="F169" s="244"/>
      <c r="G169" s="244"/>
      <c r="H169" s="244"/>
      <c r="I169"/>
      <c r="J169"/>
      <c r="K169"/>
      <c r="L169"/>
      <c r="N169" s="245"/>
      <c r="O169"/>
      <c r="P169"/>
      <c r="Q169"/>
      <c r="R169"/>
    </row>
    <row r="170" spans="5:18">
      <c r="E170" s="244"/>
      <c r="F170" s="244"/>
      <c r="G170" s="244"/>
      <c r="H170" s="244"/>
      <c r="I170"/>
      <c r="J170"/>
      <c r="K170"/>
      <c r="L170"/>
      <c r="N170" s="245"/>
      <c r="O170"/>
      <c r="P170"/>
      <c r="Q170"/>
      <c r="R170"/>
    </row>
    <row r="171" spans="5:18">
      <c r="E171" s="244"/>
      <c r="F171" s="244"/>
      <c r="G171" s="244"/>
      <c r="H171" s="244"/>
      <c r="I171"/>
      <c r="J171"/>
      <c r="K171"/>
      <c r="L171"/>
      <c r="N171" s="245"/>
      <c r="O171"/>
      <c r="P171"/>
      <c r="Q171"/>
      <c r="R171"/>
    </row>
    <row r="172" spans="5:18">
      <c r="E172" s="244"/>
      <c r="F172" s="244"/>
      <c r="G172" s="244"/>
      <c r="H172" s="244"/>
      <c r="I172"/>
      <c r="J172"/>
      <c r="K172"/>
      <c r="L172"/>
      <c r="N172" s="245"/>
      <c r="O172"/>
      <c r="P172"/>
      <c r="Q172"/>
      <c r="R172"/>
    </row>
    <row r="173" spans="5:18">
      <c r="E173" s="244"/>
      <c r="F173" s="244"/>
      <c r="G173" s="244"/>
      <c r="H173" s="244"/>
      <c r="I173"/>
      <c r="J173"/>
      <c r="K173"/>
      <c r="L173"/>
      <c r="N173" s="245"/>
      <c r="O173"/>
      <c r="P173"/>
      <c r="Q173"/>
      <c r="R173"/>
    </row>
    <row r="174" spans="5:18">
      <c r="E174" s="244"/>
      <c r="F174" s="244"/>
      <c r="G174" s="244"/>
      <c r="H174" s="244"/>
      <c r="I174"/>
      <c r="J174"/>
      <c r="K174"/>
      <c r="L174" s="245"/>
      <c r="N174" s="245"/>
      <c r="O174"/>
      <c r="P174"/>
      <c r="Q174"/>
      <c r="R174" s="245"/>
    </row>
    <row r="175" spans="5:18">
      <c r="E175" s="244"/>
      <c r="F175" s="244"/>
      <c r="G175" s="244"/>
      <c r="H175" s="244"/>
      <c r="I175"/>
      <c r="J175"/>
      <c r="K175"/>
      <c r="L175" s="245"/>
      <c r="N175" s="245"/>
      <c r="O175"/>
      <c r="P175"/>
      <c r="Q175"/>
      <c r="R175" s="245"/>
    </row>
    <row r="176" spans="5:18">
      <c r="E176" s="244"/>
      <c r="F176" s="244"/>
      <c r="G176" s="244"/>
      <c r="H176" s="244"/>
      <c r="I176"/>
      <c r="J176"/>
      <c r="K176"/>
      <c r="L176"/>
      <c r="N176" s="245"/>
      <c r="O176"/>
      <c r="P176"/>
      <c r="Q176"/>
      <c r="R176"/>
    </row>
    <row r="177" spans="5:18">
      <c r="E177" s="244"/>
      <c r="F177" s="244"/>
      <c r="G177" s="244"/>
      <c r="H177" s="244"/>
      <c r="I177"/>
      <c r="J177"/>
      <c r="K177"/>
      <c r="L177"/>
      <c r="N177" s="245"/>
      <c r="O177"/>
      <c r="P177"/>
      <c r="Q177"/>
      <c r="R177"/>
    </row>
    <row r="178" spans="5:18">
      <c r="E178" s="244"/>
      <c r="F178" s="244"/>
      <c r="G178" s="244"/>
      <c r="H178" s="244"/>
      <c r="I178"/>
      <c r="J178"/>
      <c r="K178"/>
      <c r="L178" s="245"/>
      <c r="N178" s="245"/>
      <c r="O178"/>
      <c r="P178"/>
      <c r="Q178"/>
      <c r="R178" s="245"/>
    </row>
    <row r="179" spans="5:18">
      <c r="E179" s="244"/>
      <c r="F179" s="244"/>
      <c r="G179" s="244"/>
      <c r="H179" s="244"/>
      <c r="I179"/>
      <c r="J179"/>
      <c r="K179"/>
      <c r="L179"/>
      <c r="N179" s="245"/>
      <c r="O179"/>
      <c r="P179"/>
      <c r="Q179"/>
      <c r="R179"/>
    </row>
    <row r="180" spans="5:18">
      <c r="E180" s="244"/>
      <c r="F180" s="244"/>
      <c r="G180" s="244"/>
      <c r="H180" s="244"/>
      <c r="I180"/>
      <c r="J180"/>
      <c r="K180"/>
      <c r="L180" s="245"/>
      <c r="N180" s="245"/>
      <c r="O180"/>
      <c r="P180"/>
      <c r="Q180"/>
      <c r="R180" s="245"/>
    </row>
    <row r="181" spans="5:18">
      <c r="E181" s="244"/>
      <c r="F181" s="244"/>
      <c r="G181" s="244"/>
      <c r="H181" s="244"/>
      <c r="I181"/>
      <c r="J181"/>
      <c r="K181"/>
      <c r="L181" s="245"/>
      <c r="N181" s="245"/>
      <c r="O181"/>
      <c r="P181"/>
      <c r="Q181"/>
      <c r="R181" s="245"/>
    </row>
    <row r="182" spans="5:18">
      <c r="E182" s="244"/>
      <c r="F182" s="244"/>
      <c r="G182" s="244"/>
      <c r="H182" s="244"/>
      <c r="I182"/>
      <c r="J182"/>
      <c r="K182"/>
      <c r="L182" s="245"/>
      <c r="N182" s="245"/>
      <c r="O182"/>
      <c r="P182"/>
      <c r="Q182"/>
      <c r="R182" s="245"/>
    </row>
    <row r="183" spans="5:18">
      <c r="E183" s="244"/>
      <c r="F183" s="244"/>
      <c r="G183" s="244"/>
      <c r="H183" s="244"/>
      <c r="I183"/>
      <c r="J183"/>
      <c r="K183"/>
      <c r="L183" s="245"/>
      <c r="N183" s="245"/>
      <c r="O183"/>
      <c r="P183"/>
      <c r="Q183"/>
      <c r="R183" s="245"/>
    </row>
    <row r="184" spans="5:18">
      <c r="E184" s="244"/>
      <c r="F184" s="244"/>
      <c r="G184" s="244"/>
      <c r="H184" s="244"/>
      <c r="I184"/>
      <c r="J184"/>
      <c r="K184"/>
      <c r="L184" s="245"/>
      <c r="N184" s="245"/>
      <c r="O184"/>
      <c r="P184"/>
      <c r="Q184"/>
      <c r="R184" s="245"/>
    </row>
    <row r="185" spans="5:18">
      <c r="E185" s="244"/>
      <c r="F185" s="244"/>
      <c r="G185" s="244"/>
      <c r="H185" s="244"/>
      <c r="I185"/>
      <c r="J185"/>
      <c r="K185"/>
      <c r="L185" s="245"/>
      <c r="N185" s="245"/>
      <c r="O185"/>
      <c r="P185"/>
      <c r="Q185"/>
      <c r="R185" s="245"/>
    </row>
    <row r="186" spans="5:18">
      <c r="E186" s="244"/>
      <c r="F186" s="244"/>
      <c r="G186" s="244"/>
      <c r="H186" s="244"/>
      <c r="I186"/>
      <c r="J186"/>
      <c r="K186"/>
      <c r="L186" s="245"/>
      <c r="N186" s="245"/>
      <c r="O186"/>
      <c r="P186"/>
      <c r="Q186"/>
      <c r="R186" s="245"/>
    </row>
    <row r="187" spans="5:18">
      <c r="E187" s="244"/>
      <c r="F187" s="244"/>
      <c r="G187" s="244"/>
      <c r="H187" s="244"/>
      <c r="I187"/>
      <c r="J187"/>
      <c r="K187"/>
      <c r="L187" s="245"/>
      <c r="N187" s="245"/>
      <c r="O187"/>
      <c r="P187"/>
      <c r="Q187"/>
      <c r="R187" s="245"/>
    </row>
    <row r="188" spans="5:18">
      <c r="E188" s="244"/>
      <c r="F188" s="244"/>
      <c r="G188" s="244"/>
      <c r="H188" s="244"/>
      <c r="I188"/>
      <c r="J188"/>
      <c r="K188"/>
      <c r="L188" s="245"/>
      <c r="N188" s="245"/>
      <c r="O188"/>
      <c r="P188"/>
      <c r="Q188"/>
      <c r="R188" s="245"/>
    </row>
    <row r="189" spans="5:18">
      <c r="E189" s="244"/>
      <c r="F189" s="244"/>
      <c r="G189" s="244"/>
      <c r="H189" s="244"/>
      <c r="I189"/>
      <c r="J189"/>
      <c r="K189"/>
      <c r="L189" s="245"/>
      <c r="N189" s="245"/>
      <c r="O189"/>
      <c r="P189"/>
      <c r="Q189"/>
      <c r="R189" s="245"/>
    </row>
    <row r="190" spans="5:18">
      <c r="E190" s="244"/>
      <c r="F190" s="244"/>
      <c r="G190" s="244"/>
      <c r="H190" s="244"/>
      <c r="I190"/>
      <c r="J190"/>
      <c r="K190"/>
      <c r="L190"/>
      <c r="N190" s="245"/>
      <c r="O190"/>
      <c r="P190"/>
      <c r="Q190"/>
      <c r="R190"/>
    </row>
    <row r="191" spans="5:18">
      <c r="E191" s="244"/>
      <c r="F191" s="244"/>
      <c r="G191" s="244"/>
      <c r="H191" s="244"/>
      <c r="I191"/>
      <c r="J191"/>
      <c r="K191"/>
      <c r="L191" s="245"/>
      <c r="N191" s="245"/>
      <c r="O191"/>
      <c r="P191"/>
      <c r="Q191"/>
      <c r="R191" s="245"/>
    </row>
    <row r="192" spans="5:18">
      <c r="E192" s="244"/>
      <c r="F192" s="244"/>
      <c r="G192" s="244"/>
      <c r="H192" s="244"/>
      <c r="I192"/>
      <c r="J192"/>
      <c r="K192"/>
      <c r="L192" s="245"/>
      <c r="N192" s="245"/>
      <c r="O192"/>
      <c r="P192"/>
      <c r="Q192"/>
      <c r="R192" s="245"/>
    </row>
    <row r="193" spans="5:18">
      <c r="E193" s="244"/>
      <c r="F193" s="244"/>
      <c r="G193" s="244"/>
      <c r="H193" s="244"/>
      <c r="I193"/>
      <c r="J193"/>
      <c r="K193"/>
      <c r="L193"/>
      <c r="N193" s="245"/>
      <c r="O193"/>
      <c r="P193"/>
      <c r="Q193"/>
      <c r="R193"/>
    </row>
    <row r="194" spans="5:18">
      <c r="E194" s="244"/>
      <c r="F194" s="244"/>
      <c r="G194" s="244"/>
      <c r="H194" s="244"/>
      <c r="I194"/>
      <c r="J194"/>
      <c r="K194"/>
      <c r="L194"/>
      <c r="N194" s="245"/>
      <c r="O194"/>
      <c r="P194"/>
      <c r="Q194"/>
      <c r="R194"/>
    </row>
    <row r="195" spans="5:18">
      <c r="E195" s="244"/>
      <c r="F195" s="244"/>
      <c r="G195" s="244"/>
      <c r="H195" s="244"/>
      <c r="I195"/>
      <c r="J195"/>
      <c r="K195"/>
      <c r="L195"/>
      <c r="N195" s="245"/>
      <c r="O195"/>
      <c r="P195"/>
      <c r="Q195"/>
      <c r="R195"/>
    </row>
    <row r="196" spans="5:18">
      <c r="E196" s="244"/>
      <c r="F196" s="244"/>
      <c r="G196" s="244"/>
      <c r="H196" s="244"/>
      <c r="I196"/>
      <c r="J196"/>
      <c r="K196"/>
      <c r="L196"/>
      <c r="N196" s="245"/>
      <c r="O196"/>
      <c r="P196"/>
      <c r="Q196"/>
      <c r="R196"/>
    </row>
    <row r="197" spans="5:18">
      <c r="E197" s="244"/>
      <c r="F197" s="244"/>
      <c r="G197" s="244"/>
      <c r="H197" s="244"/>
      <c r="I197"/>
      <c r="J197"/>
      <c r="K197"/>
      <c r="L197"/>
      <c r="N197" s="245"/>
      <c r="O197"/>
      <c r="P197"/>
      <c r="Q197"/>
      <c r="R197"/>
    </row>
    <row r="198" spans="5:18">
      <c r="E198" s="244"/>
      <c r="F198" s="244"/>
      <c r="G198" s="244"/>
      <c r="H198" s="244"/>
      <c r="I198"/>
      <c r="J198"/>
      <c r="K198"/>
      <c r="L198" s="245"/>
      <c r="N198" s="245"/>
      <c r="O198"/>
      <c r="P198"/>
      <c r="Q198"/>
      <c r="R198" s="245"/>
    </row>
    <row r="199" spans="5:18">
      <c r="E199" s="244"/>
      <c r="F199" s="244"/>
      <c r="G199" s="244"/>
      <c r="H199" s="244"/>
      <c r="I199"/>
      <c r="J199"/>
      <c r="K199"/>
      <c r="L199" s="245"/>
      <c r="N199" s="245"/>
      <c r="O199"/>
      <c r="P199"/>
      <c r="Q199"/>
      <c r="R199" s="245"/>
    </row>
    <row r="200" spans="5:18">
      <c r="E200" s="244"/>
      <c r="F200" s="244"/>
      <c r="G200" s="244"/>
      <c r="H200" s="244"/>
      <c r="I200"/>
      <c r="J200"/>
      <c r="K200"/>
      <c r="L200" s="245"/>
      <c r="N200" s="245"/>
      <c r="O200"/>
      <c r="P200"/>
      <c r="Q200"/>
      <c r="R200" s="245"/>
    </row>
    <row r="201" spans="5:18">
      <c r="E201" s="244"/>
      <c r="F201" s="244"/>
      <c r="G201" s="244"/>
      <c r="H201" s="244"/>
      <c r="I201"/>
      <c r="J201"/>
      <c r="K201"/>
      <c r="L201" s="245"/>
      <c r="N201" s="245"/>
      <c r="O201"/>
      <c r="P201"/>
      <c r="Q201"/>
      <c r="R201" s="245"/>
    </row>
    <row r="202" spans="5:18">
      <c r="E202" s="244"/>
      <c r="F202" s="244"/>
      <c r="G202" s="244"/>
      <c r="H202" s="244"/>
      <c r="I202"/>
      <c r="J202"/>
      <c r="K202"/>
      <c r="L202" s="245"/>
      <c r="N202" s="245"/>
      <c r="O202"/>
      <c r="P202"/>
      <c r="Q202"/>
      <c r="R202" s="245"/>
    </row>
    <row r="203" spans="5:18">
      <c r="E203" s="244"/>
      <c r="F203" s="244"/>
      <c r="G203" s="244"/>
      <c r="H203" s="244"/>
      <c r="I203"/>
      <c r="J203"/>
      <c r="K203"/>
      <c r="L203" s="245"/>
      <c r="N203" s="245"/>
      <c r="O203"/>
      <c r="P203"/>
      <c r="Q203"/>
      <c r="R203" s="245"/>
    </row>
    <row r="204" spans="5:18">
      <c r="E204" s="244"/>
      <c r="F204" s="244"/>
      <c r="G204" s="244"/>
      <c r="H204" s="244"/>
      <c r="I204"/>
      <c r="J204"/>
      <c r="K204"/>
      <c r="L204" s="245"/>
      <c r="N204" s="245"/>
      <c r="O204"/>
      <c r="P204"/>
      <c r="Q204"/>
      <c r="R204" s="245"/>
    </row>
    <row r="205" spans="5:18">
      <c r="E205" s="244"/>
      <c r="F205" s="244"/>
      <c r="G205" s="244"/>
      <c r="H205" s="244"/>
      <c r="I205"/>
      <c r="J205"/>
      <c r="K205"/>
      <c r="L205" s="245"/>
      <c r="N205" s="245"/>
      <c r="O205"/>
      <c r="P205"/>
      <c r="Q205"/>
      <c r="R205" s="245"/>
    </row>
    <row r="206" spans="5:18">
      <c r="E206" s="244"/>
      <c r="F206" s="244"/>
      <c r="G206" s="244"/>
      <c r="H206" s="244"/>
      <c r="I206"/>
      <c r="J206"/>
      <c r="K206"/>
      <c r="L206" s="245"/>
      <c r="N206" s="245"/>
      <c r="O206"/>
      <c r="P206"/>
      <c r="Q206"/>
      <c r="R206" s="245"/>
    </row>
    <row r="207" spans="5:18">
      <c r="E207" s="244"/>
      <c r="F207" s="244"/>
      <c r="G207" s="244"/>
      <c r="H207" s="244"/>
      <c r="I207"/>
      <c r="J207"/>
      <c r="K207"/>
      <c r="L207" s="245"/>
      <c r="N207" s="245"/>
      <c r="O207"/>
      <c r="P207"/>
      <c r="Q207"/>
      <c r="R207" s="245"/>
    </row>
    <row r="208" spans="5:18">
      <c r="E208" s="244"/>
      <c r="F208" s="244"/>
      <c r="G208" s="244"/>
      <c r="H208" s="244"/>
      <c r="I208"/>
      <c r="J208"/>
      <c r="K208"/>
      <c r="L208"/>
      <c r="N208" s="245"/>
      <c r="O208"/>
      <c r="P208"/>
      <c r="Q208"/>
      <c r="R208"/>
    </row>
    <row r="209" spans="5:18">
      <c r="E209" s="244"/>
      <c r="F209" s="244"/>
      <c r="G209" s="244"/>
      <c r="H209" s="244"/>
      <c r="I209"/>
      <c r="J209"/>
      <c r="K209"/>
      <c r="L209" s="245"/>
      <c r="N209" s="245"/>
      <c r="O209"/>
      <c r="P209"/>
      <c r="Q209"/>
      <c r="R209" s="245"/>
    </row>
    <row r="210" spans="5:18">
      <c r="E210" s="244"/>
      <c r="F210" s="244"/>
      <c r="G210" s="244"/>
      <c r="H210" s="244"/>
      <c r="I210"/>
      <c r="J210"/>
      <c r="K210"/>
      <c r="L210"/>
      <c r="N210" s="245"/>
      <c r="O210"/>
      <c r="P210"/>
      <c r="Q210"/>
      <c r="R210"/>
    </row>
    <row r="211" spans="5:18">
      <c r="E211" s="244"/>
      <c r="F211" s="244"/>
      <c r="G211" s="244"/>
      <c r="H211" s="244"/>
      <c r="I211"/>
      <c r="J211"/>
      <c r="K211"/>
      <c r="L211"/>
      <c r="N211" s="245"/>
      <c r="O211"/>
      <c r="P211"/>
      <c r="Q211"/>
      <c r="R211"/>
    </row>
    <row r="212" spans="5:18">
      <c r="E212" s="244"/>
      <c r="F212" s="244"/>
      <c r="G212" s="244"/>
      <c r="H212" s="244"/>
      <c r="I212"/>
      <c r="J212"/>
      <c r="K212"/>
      <c r="L212" s="245"/>
      <c r="N212" s="245"/>
      <c r="O212"/>
      <c r="P212"/>
      <c r="Q212"/>
      <c r="R212" s="245"/>
    </row>
    <row r="213" spans="5:18">
      <c r="E213" s="244"/>
      <c r="F213" s="244"/>
      <c r="G213" s="244"/>
      <c r="H213" s="244"/>
      <c r="I213"/>
      <c r="J213"/>
      <c r="K213"/>
      <c r="L213" s="245"/>
      <c r="N213" s="245"/>
      <c r="O213"/>
      <c r="P213"/>
      <c r="Q213"/>
      <c r="R213" s="245"/>
    </row>
    <row r="214" spans="5:18">
      <c r="E214" s="244"/>
      <c r="F214" s="244"/>
      <c r="G214" s="244"/>
      <c r="H214" s="244"/>
      <c r="I214"/>
      <c r="J214"/>
      <c r="K214"/>
      <c r="L214" s="245"/>
      <c r="N214" s="245"/>
      <c r="O214"/>
      <c r="P214"/>
      <c r="Q214"/>
      <c r="R214" s="245"/>
    </row>
    <row r="215" spans="5:18">
      <c r="E215" s="244"/>
      <c r="F215" s="244"/>
      <c r="G215" s="244"/>
      <c r="H215" s="244"/>
      <c r="I215"/>
      <c r="J215"/>
      <c r="K215"/>
      <c r="L215" s="245"/>
      <c r="N215" s="245"/>
      <c r="O215"/>
      <c r="P215"/>
      <c r="Q215"/>
      <c r="R215" s="245"/>
    </row>
    <row r="216" spans="5:18">
      <c r="E216" s="244"/>
      <c r="F216" s="244"/>
      <c r="G216" s="244"/>
      <c r="H216" s="244"/>
      <c r="I216"/>
      <c r="J216"/>
      <c r="K216"/>
      <c r="L216" s="245"/>
      <c r="N216" s="245"/>
      <c r="O216"/>
      <c r="P216"/>
      <c r="Q216"/>
      <c r="R216" s="245"/>
    </row>
    <row r="217" spans="5:18">
      <c r="E217" s="244"/>
      <c r="F217" s="244"/>
      <c r="G217" s="244"/>
      <c r="H217" s="244"/>
      <c r="I217"/>
      <c r="J217"/>
      <c r="K217"/>
      <c r="L217" s="245"/>
      <c r="N217" s="245"/>
      <c r="O217"/>
      <c r="P217"/>
      <c r="Q217"/>
      <c r="R217" s="245"/>
    </row>
    <row r="218" spans="5:18">
      <c r="E218" s="244"/>
      <c r="F218" s="244"/>
      <c r="G218" s="244"/>
      <c r="H218" s="244"/>
      <c r="I218"/>
      <c r="J218"/>
      <c r="K218"/>
      <c r="L218" s="245"/>
      <c r="N218" s="245"/>
      <c r="O218"/>
      <c r="P218"/>
      <c r="Q218"/>
      <c r="R218" s="245"/>
    </row>
    <row r="219" spans="5:18">
      <c r="E219" s="244"/>
      <c r="F219" s="244"/>
      <c r="G219" s="244"/>
      <c r="H219" s="244"/>
      <c r="I219"/>
      <c r="J219"/>
      <c r="K219"/>
      <c r="L219" s="245"/>
      <c r="N219" s="245"/>
      <c r="O219"/>
      <c r="P219"/>
      <c r="Q219"/>
      <c r="R219" s="245"/>
    </row>
    <row r="220" spans="5:18">
      <c r="E220" s="244"/>
      <c r="F220" s="244"/>
      <c r="G220" s="244"/>
      <c r="H220" s="244"/>
      <c r="I220"/>
      <c r="J220"/>
      <c r="K220"/>
      <c r="L220" s="245"/>
      <c r="N220" s="245"/>
      <c r="O220"/>
      <c r="P220"/>
      <c r="Q220"/>
      <c r="R220" s="245"/>
    </row>
    <row r="221" spans="5:18">
      <c r="E221" s="244"/>
      <c r="F221" s="244"/>
      <c r="G221" s="244"/>
      <c r="H221" s="244"/>
      <c r="I221"/>
      <c r="J221"/>
      <c r="K221"/>
      <c r="L221"/>
      <c r="N221" s="245"/>
      <c r="O221"/>
      <c r="P221"/>
      <c r="Q221"/>
      <c r="R221"/>
    </row>
    <row r="222" spans="5:18">
      <c r="E222" s="244"/>
      <c r="F222" s="244"/>
      <c r="G222" s="244"/>
      <c r="H222" s="244"/>
      <c r="I222"/>
      <c r="J222"/>
      <c r="K222"/>
      <c r="L222"/>
      <c r="N222" s="245"/>
      <c r="O222"/>
      <c r="P222"/>
      <c r="Q222"/>
      <c r="R222"/>
    </row>
    <row r="223" spans="5:18">
      <c r="E223" s="244"/>
      <c r="F223" s="244"/>
      <c r="G223" s="244"/>
      <c r="H223" s="244"/>
      <c r="I223"/>
      <c r="J223"/>
      <c r="K223"/>
      <c r="L223"/>
      <c r="N223" s="245"/>
      <c r="O223"/>
      <c r="P223"/>
      <c r="Q223"/>
      <c r="R223"/>
    </row>
    <row r="224" spans="5:18">
      <c r="E224" s="244"/>
      <c r="F224" s="244"/>
      <c r="G224" s="244"/>
      <c r="H224" s="244"/>
      <c r="I224"/>
      <c r="J224"/>
      <c r="K224"/>
      <c r="L224"/>
      <c r="N224" s="245"/>
      <c r="O224"/>
      <c r="P224"/>
      <c r="Q224"/>
      <c r="R224"/>
    </row>
    <row r="225" spans="5:18">
      <c r="E225" s="244"/>
      <c r="F225" s="244"/>
      <c r="G225" s="244"/>
      <c r="H225" s="244"/>
      <c r="I225"/>
      <c r="J225"/>
      <c r="K225"/>
      <c r="L225" s="245"/>
      <c r="N225" s="245"/>
      <c r="O225"/>
      <c r="P225"/>
      <c r="Q225"/>
      <c r="R225" s="245"/>
    </row>
    <row r="226" spans="5:18">
      <c r="E226" s="244"/>
      <c r="F226" s="244"/>
      <c r="G226" s="244"/>
      <c r="H226" s="244"/>
      <c r="I226"/>
      <c r="J226"/>
      <c r="K226"/>
      <c r="L226" s="245"/>
      <c r="N226" s="245"/>
      <c r="O226"/>
      <c r="P226"/>
      <c r="Q226"/>
      <c r="R226" s="245"/>
    </row>
    <row r="227" spans="5:18">
      <c r="E227" s="244"/>
      <c r="F227" s="244"/>
      <c r="G227" s="244"/>
      <c r="H227" s="244"/>
      <c r="I227"/>
      <c r="J227"/>
      <c r="K227"/>
      <c r="L227" s="245"/>
      <c r="N227" s="245"/>
      <c r="O227"/>
      <c r="P227"/>
      <c r="Q227"/>
      <c r="R227" s="245"/>
    </row>
    <row r="228" spans="5:18">
      <c r="E228" s="244"/>
      <c r="F228" s="244"/>
      <c r="G228" s="244"/>
      <c r="H228" s="244"/>
      <c r="I228"/>
      <c r="J228"/>
      <c r="K228"/>
      <c r="L228" s="245"/>
      <c r="N228" s="245"/>
      <c r="O228"/>
      <c r="P228"/>
      <c r="Q228"/>
      <c r="R228" s="245"/>
    </row>
    <row r="229" spans="5:18">
      <c r="E229" s="244"/>
      <c r="F229" s="244"/>
      <c r="G229" s="244"/>
      <c r="H229" s="244"/>
      <c r="I229"/>
      <c r="J229"/>
      <c r="K229"/>
      <c r="L229" s="245"/>
      <c r="N229" s="245"/>
      <c r="O229"/>
      <c r="P229"/>
      <c r="Q229"/>
      <c r="R229" s="245"/>
    </row>
    <row r="230" spans="5:18">
      <c r="E230" s="244"/>
      <c r="F230" s="244"/>
      <c r="G230" s="244"/>
      <c r="H230" s="244"/>
      <c r="I230"/>
      <c r="J230"/>
      <c r="K230"/>
      <c r="L230" s="245"/>
      <c r="N230" s="245"/>
      <c r="O230"/>
      <c r="P230"/>
      <c r="Q230"/>
      <c r="R230" s="245"/>
    </row>
    <row r="231" spans="5:18">
      <c r="E231" s="244"/>
      <c r="F231" s="244"/>
      <c r="G231" s="244"/>
      <c r="H231" s="244"/>
      <c r="I231"/>
      <c r="J231"/>
      <c r="K231"/>
      <c r="L231"/>
      <c r="N231" s="245"/>
      <c r="O231"/>
      <c r="P231"/>
      <c r="Q231"/>
      <c r="R231"/>
    </row>
    <row r="232" spans="5:18">
      <c r="E232" s="244"/>
      <c r="F232" s="244"/>
      <c r="G232" s="244"/>
      <c r="H232" s="244"/>
      <c r="I232"/>
      <c r="J232"/>
      <c r="K232"/>
      <c r="L232" s="245"/>
      <c r="N232" s="245"/>
      <c r="O232"/>
      <c r="P232"/>
      <c r="Q232"/>
      <c r="R232" s="245"/>
    </row>
    <row r="233" spans="5:18">
      <c r="E233" s="244"/>
      <c r="F233" s="244"/>
      <c r="G233" s="244"/>
      <c r="H233" s="244"/>
      <c r="I233"/>
      <c r="J233"/>
      <c r="K233"/>
      <c r="L233" s="245"/>
      <c r="N233" s="245"/>
      <c r="O233"/>
      <c r="P233"/>
      <c r="Q233"/>
      <c r="R233" s="245"/>
    </row>
    <row r="234" spans="5:18">
      <c r="E234" s="244"/>
      <c r="F234" s="244"/>
      <c r="G234" s="244"/>
      <c r="H234" s="244"/>
      <c r="I234"/>
      <c r="J234"/>
      <c r="K234"/>
      <c r="L234" s="245"/>
      <c r="N234" s="245"/>
      <c r="O234"/>
      <c r="P234"/>
      <c r="Q234"/>
      <c r="R234" s="245"/>
    </row>
    <row r="235" spans="5:18">
      <c r="E235" s="244"/>
      <c r="F235" s="244"/>
      <c r="G235" s="244"/>
      <c r="H235" s="244"/>
      <c r="I235"/>
      <c r="J235"/>
      <c r="K235"/>
      <c r="L235" s="245"/>
      <c r="N235" s="245"/>
      <c r="O235"/>
      <c r="P235"/>
      <c r="Q235"/>
      <c r="R235" s="245"/>
    </row>
    <row r="236" spans="5:18">
      <c r="E236" s="244"/>
      <c r="F236" s="244"/>
      <c r="G236" s="244"/>
      <c r="H236" s="244"/>
      <c r="I236"/>
      <c r="J236"/>
      <c r="K236"/>
      <c r="L236" s="245"/>
      <c r="N236" s="245"/>
      <c r="O236"/>
      <c r="P236"/>
      <c r="Q236"/>
      <c r="R236" s="245"/>
    </row>
    <row r="237" spans="5:18">
      <c r="E237" s="244"/>
      <c r="F237" s="244"/>
      <c r="G237" s="244"/>
      <c r="H237" s="244"/>
      <c r="I237"/>
      <c r="J237"/>
      <c r="K237"/>
      <c r="L237" s="245"/>
      <c r="N237" s="245"/>
      <c r="O237"/>
      <c r="P237"/>
      <c r="Q237"/>
      <c r="R237" s="245"/>
    </row>
    <row r="238" spans="5:18">
      <c r="E238" s="244"/>
      <c r="F238" s="244"/>
      <c r="G238" s="244"/>
      <c r="H238" s="244"/>
      <c r="I238"/>
      <c r="J238"/>
      <c r="K238"/>
      <c r="L238"/>
      <c r="N238" s="245"/>
      <c r="O238"/>
      <c r="P238"/>
      <c r="Q238"/>
      <c r="R238"/>
    </row>
    <row r="239" spans="5:18">
      <c r="E239" s="244"/>
      <c r="F239" s="244"/>
      <c r="G239" s="244"/>
      <c r="H239" s="244"/>
      <c r="I239"/>
      <c r="J239"/>
      <c r="K239"/>
      <c r="L239"/>
      <c r="N239" s="245"/>
      <c r="O239"/>
      <c r="P239"/>
      <c r="Q239"/>
      <c r="R239"/>
    </row>
    <row r="240" spans="5:18">
      <c r="E240" s="244"/>
      <c r="F240" s="244"/>
      <c r="G240" s="244"/>
      <c r="H240" s="244"/>
      <c r="I240"/>
      <c r="J240"/>
      <c r="K240"/>
      <c r="L240" s="245"/>
      <c r="N240" s="245"/>
      <c r="O240"/>
      <c r="P240"/>
      <c r="Q240"/>
      <c r="R240" s="245"/>
    </row>
    <row r="241" spans="5:18">
      <c r="E241" s="244"/>
      <c r="F241" s="244"/>
      <c r="G241" s="244"/>
      <c r="H241" s="244"/>
      <c r="I241"/>
      <c r="J241"/>
      <c r="K241"/>
      <c r="L241" s="245"/>
      <c r="N241" s="245"/>
      <c r="O241"/>
      <c r="P241"/>
      <c r="Q241"/>
      <c r="R241" s="245"/>
    </row>
    <row r="242" spans="5:18">
      <c r="E242" s="244"/>
      <c r="F242" s="244"/>
      <c r="G242" s="244"/>
      <c r="H242" s="244"/>
      <c r="I242"/>
      <c r="J242"/>
      <c r="K242"/>
      <c r="L242" s="245"/>
      <c r="N242" s="245"/>
      <c r="O242"/>
      <c r="P242"/>
      <c r="Q242"/>
      <c r="R242" s="245"/>
    </row>
    <row r="243" spans="5:18">
      <c r="E243" s="244"/>
      <c r="F243" s="244"/>
      <c r="G243" s="244"/>
      <c r="H243" s="244"/>
      <c r="I243"/>
      <c r="J243"/>
      <c r="K243"/>
      <c r="L243" s="245"/>
      <c r="N243" s="245"/>
      <c r="O243"/>
      <c r="P243"/>
      <c r="Q243"/>
      <c r="R243" s="245"/>
    </row>
    <row r="244" spans="5:18">
      <c r="E244" s="244"/>
      <c r="F244" s="244"/>
      <c r="G244" s="244"/>
      <c r="H244" s="244"/>
      <c r="I244"/>
      <c r="J244"/>
      <c r="K244"/>
      <c r="L244"/>
      <c r="N244" s="245"/>
      <c r="O244"/>
      <c r="P244"/>
      <c r="Q244"/>
      <c r="R244"/>
    </row>
    <row r="245" spans="5:18">
      <c r="E245" s="244"/>
      <c r="F245" s="244"/>
      <c r="G245" s="244"/>
      <c r="H245" s="244"/>
      <c r="I245"/>
      <c r="J245"/>
      <c r="K245"/>
      <c r="L245" s="245"/>
      <c r="N245" s="245"/>
      <c r="O245"/>
      <c r="P245"/>
      <c r="Q245"/>
      <c r="R245" s="245"/>
    </row>
    <row r="246" spans="5:18">
      <c r="E246" s="244"/>
      <c r="F246" s="244"/>
      <c r="G246" s="244"/>
      <c r="H246" s="244"/>
      <c r="I246"/>
      <c r="J246"/>
      <c r="K246"/>
      <c r="L246"/>
      <c r="N246" s="245"/>
      <c r="O246"/>
      <c r="P246"/>
      <c r="Q246"/>
      <c r="R246"/>
    </row>
    <row r="247" spans="5:18">
      <c r="E247" s="244"/>
      <c r="F247" s="244"/>
      <c r="G247" s="244"/>
      <c r="H247" s="244"/>
      <c r="I247"/>
      <c r="J247"/>
      <c r="K247"/>
      <c r="L247"/>
      <c r="N247" s="245"/>
      <c r="O247"/>
      <c r="P247"/>
      <c r="Q247"/>
      <c r="R247"/>
    </row>
    <row r="248" spans="5:18">
      <c r="E248" s="244"/>
      <c r="F248" s="244"/>
      <c r="G248" s="244"/>
      <c r="H248" s="244"/>
      <c r="I248"/>
      <c r="J248"/>
      <c r="K248"/>
      <c r="L248"/>
      <c r="N248" s="245"/>
      <c r="O248"/>
      <c r="P248"/>
      <c r="Q248"/>
      <c r="R248"/>
    </row>
    <row r="249" spans="5:18">
      <c r="E249" s="244"/>
      <c r="F249" s="244"/>
      <c r="G249" s="244"/>
      <c r="H249" s="244"/>
      <c r="I249"/>
      <c r="J249"/>
      <c r="K249"/>
      <c r="L249"/>
      <c r="N249" s="245"/>
      <c r="O249"/>
      <c r="P249"/>
      <c r="Q249"/>
      <c r="R249"/>
    </row>
    <row r="250" spans="5:18">
      <c r="E250" s="244"/>
      <c r="F250" s="244"/>
      <c r="G250" s="244"/>
      <c r="H250" s="244"/>
      <c r="I250"/>
      <c r="J250"/>
      <c r="K250"/>
      <c r="L250" s="245"/>
      <c r="N250" s="245"/>
      <c r="O250"/>
      <c r="P250"/>
      <c r="Q250"/>
      <c r="R250" s="245"/>
    </row>
    <row r="251" spans="5:18">
      <c r="E251" s="244"/>
      <c r="F251" s="244"/>
      <c r="G251" s="244"/>
      <c r="H251" s="244"/>
      <c r="I251"/>
      <c r="J251"/>
      <c r="K251"/>
      <c r="L251"/>
      <c r="N251" s="245"/>
      <c r="O251"/>
      <c r="P251"/>
      <c r="Q251"/>
      <c r="R251"/>
    </row>
    <row r="252" spans="5:18">
      <c r="E252" s="244"/>
      <c r="F252" s="244"/>
      <c r="G252" s="244"/>
      <c r="H252" s="244"/>
      <c r="I252"/>
      <c r="J252"/>
      <c r="K252"/>
      <c r="L252"/>
      <c r="N252" s="245"/>
      <c r="O252"/>
      <c r="P252"/>
      <c r="Q252"/>
      <c r="R252"/>
    </row>
    <row r="253" spans="5:18">
      <c r="E253" s="244"/>
      <c r="F253" s="244"/>
      <c r="G253" s="244"/>
      <c r="H253" s="244"/>
      <c r="I253"/>
      <c r="J253"/>
      <c r="K253"/>
      <c r="L253"/>
      <c r="N253" s="245"/>
      <c r="O253"/>
      <c r="P253"/>
      <c r="Q253"/>
      <c r="R253"/>
    </row>
    <row r="254" spans="5:18">
      <c r="E254" s="244"/>
      <c r="F254" s="244"/>
      <c r="G254" s="244"/>
      <c r="H254" s="244"/>
      <c r="I254"/>
      <c r="J254"/>
      <c r="K254"/>
      <c r="L254" s="245"/>
      <c r="N254" s="245"/>
      <c r="O254"/>
      <c r="P254"/>
      <c r="Q254"/>
      <c r="R254" s="245"/>
    </row>
    <row r="255" spans="5:18">
      <c r="E255" s="244"/>
      <c r="F255" s="244"/>
      <c r="G255" s="244"/>
      <c r="H255" s="244"/>
      <c r="I255"/>
      <c r="J255"/>
      <c r="K255"/>
      <c r="L255" s="245"/>
      <c r="N255" s="245"/>
      <c r="O255"/>
      <c r="P255"/>
      <c r="Q255"/>
      <c r="R255" s="245"/>
    </row>
    <row r="256" spans="5:18">
      <c r="E256" s="244"/>
      <c r="F256" s="244"/>
      <c r="G256" s="244"/>
      <c r="H256" s="244"/>
      <c r="I256"/>
      <c r="J256"/>
      <c r="K256"/>
      <c r="L256" s="245"/>
      <c r="N256" s="245"/>
      <c r="O256"/>
      <c r="P256"/>
      <c r="Q256"/>
      <c r="R256" s="245"/>
    </row>
    <row r="257" spans="5:18">
      <c r="E257" s="244"/>
      <c r="F257" s="244"/>
      <c r="G257" s="244"/>
      <c r="H257" s="244"/>
      <c r="I257"/>
      <c r="J257"/>
      <c r="K257"/>
      <c r="L257"/>
      <c r="N257" s="245"/>
      <c r="O257"/>
      <c r="P257"/>
      <c r="Q257"/>
      <c r="R257"/>
    </row>
    <row r="258" spans="5:18">
      <c r="E258" s="244"/>
      <c r="F258" s="244"/>
      <c r="G258" s="244"/>
      <c r="H258" s="244"/>
      <c r="I258"/>
      <c r="J258"/>
      <c r="K258"/>
      <c r="L258" s="245"/>
      <c r="N258" s="245"/>
      <c r="O258"/>
      <c r="P258"/>
      <c r="Q258"/>
      <c r="R258" s="245"/>
    </row>
    <row r="259" spans="5:18">
      <c r="E259" s="244"/>
      <c r="F259" s="244"/>
      <c r="G259" s="244"/>
      <c r="H259" s="244"/>
      <c r="I259"/>
      <c r="J259"/>
      <c r="K259"/>
      <c r="L259"/>
      <c r="N259" s="245"/>
      <c r="O259"/>
      <c r="P259"/>
      <c r="Q259"/>
      <c r="R259"/>
    </row>
    <row r="260" spans="5:18">
      <c r="E260" s="244"/>
      <c r="F260" s="244"/>
      <c r="G260" s="244"/>
      <c r="H260" s="244"/>
      <c r="I260"/>
      <c r="J260"/>
      <c r="K260"/>
      <c r="L260" s="245"/>
      <c r="N260" s="245"/>
      <c r="O260"/>
      <c r="P260"/>
      <c r="Q260"/>
      <c r="R260" s="245"/>
    </row>
    <row r="261" spans="5:18">
      <c r="E261" s="244"/>
      <c r="F261" s="244"/>
      <c r="G261" s="244"/>
      <c r="H261" s="244"/>
      <c r="I261"/>
      <c r="J261"/>
      <c r="K261"/>
      <c r="L261" s="245"/>
      <c r="N261" s="245"/>
      <c r="O261"/>
      <c r="P261"/>
      <c r="Q261"/>
      <c r="R261" s="245"/>
    </row>
    <row r="262" spans="5:18">
      <c r="E262" s="244"/>
      <c r="F262" s="244"/>
      <c r="G262" s="244"/>
      <c r="H262" s="244"/>
      <c r="I262"/>
      <c r="J262"/>
      <c r="K262"/>
      <c r="L262" s="245"/>
      <c r="N262" s="245"/>
      <c r="O262"/>
      <c r="P262"/>
      <c r="Q262"/>
      <c r="R262" s="245"/>
    </row>
    <row r="263" spans="5:18">
      <c r="E263" s="244"/>
      <c r="F263" s="244"/>
      <c r="G263" s="244"/>
      <c r="H263" s="244"/>
      <c r="I263"/>
      <c r="J263"/>
      <c r="K263"/>
      <c r="L263" s="245"/>
      <c r="N263" s="245"/>
      <c r="O263"/>
      <c r="P263"/>
      <c r="Q263"/>
      <c r="R263" s="245"/>
    </row>
    <row r="264" spans="5:18">
      <c r="E264" s="244"/>
      <c r="F264" s="244"/>
      <c r="G264" s="244"/>
      <c r="H264" s="244"/>
      <c r="I264"/>
      <c r="J264"/>
      <c r="K264"/>
      <c r="L264" s="245"/>
      <c r="N264" s="245"/>
      <c r="O264"/>
      <c r="P264"/>
      <c r="Q264"/>
      <c r="R264" s="245"/>
    </row>
    <row r="265" spans="5:18">
      <c r="E265" s="244"/>
      <c r="F265" s="244"/>
      <c r="G265" s="244"/>
      <c r="H265" s="244"/>
      <c r="I265"/>
      <c r="J265"/>
      <c r="K265"/>
      <c r="L265"/>
      <c r="N265" s="245"/>
      <c r="O265"/>
      <c r="P265"/>
      <c r="Q265"/>
      <c r="R265"/>
    </row>
    <row r="266" spans="5:18">
      <c r="E266" s="244"/>
      <c r="F266" s="244"/>
      <c r="G266" s="244"/>
      <c r="H266" s="244"/>
      <c r="I266"/>
      <c r="J266"/>
      <c r="K266"/>
      <c r="L266" s="245"/>
      <c r="N266" s="245"/>
      <c r="O266"/>
      <c r="P266"/>
      <c r="Q266"/>
      <c r="R266" s="245"/>
    </row>
    <row r="267" spans="5:18">
      <c r="E267" s="244"/>
      <c r="F267" s="244"/>
      <c r="G267" s="244"/>
      <c r="H267" s="244"/>
      <c r="I267"/>
      <c r="J267"/>
      <c r="K267"/>
      <c r="L267"/>
      <c r="N267" s="245"/>
      <c r="O267"/>
      <c r="P267"/>
      <c r="Q267"/>
      <c r="R267"/>
    </row>
    <row r="268" spans="5:18">
      <c r="E268" s="244"/>
      <c r="F268" s="244"/>
      <c r="G268" s="244"/>
      <c r="H268" s="244"/>
      <c r="I268"/>
      <c r="J268"/>
      <c r="K268"/>
      <c r="L268" s="245"/>
      <c r="N268" s="245"/>
      <c r="O268"/>
      <c r="P268"/>
      <c r="Q268"/>
      <c r="R268" s="245"/>
    </row>
    <row r="269" spans="5:18">
      <c r="E269" s="244"/>
      <c r="F269" s="244"/>
      <c r="G269" s="244"/>
      <c r="H269" s="244"/>
      <c r="I269"/>
      <c r="J269"/>
      <c r="K269"/>
      <c r="L269" s="245"/>
      <c r="N269" s="245"/>
      <c r="O269"/>
      <c r="P269"/>
      <c r="Q269"/>
      <c r="R269" s="245"/>
    </row>
    <row r="270" spans="5:18">
      <c r="E270" s="244"/>
      <c r="F270" s="244"/>
      <c r="G270" s="244"/>
      <c r="H270" s="244"/>
      <c r="I270"/>
      <c r="J270"/>
      <c r="K270"/>
      <c r="L270" s="245"/>
      <c r="N270" s="245"/>
      <c r="O270"/>
      <c r="P270"/>
      <c r="Q270"/>
      <c r="R270" s="245"/>
    </row>
    <row r="271" spans="5:18">
      <c r="E271" s="244"/>
      <c r="F271" s="244"/>
      <c r="G271" s="244"/>
      <c r="H271" s="244"/>
      <c r="I271"/>
      <c r="J271"/>
      <c r="K271"/>
      <c r="L271" s="245"/>
      <c r="N271" s="245"/>
      <c r="O271"/>
      <c r="P271"/>
      <c r="Q271"/>
      <c r="R271" s="245"/>
    </row>
    <row r="272" spans="5:18">
      <c r="E272" s="244"/>
      <c r="F272" s="244"/>
      <c r="G272" s="244"/>
      <c r="H272" s="244"/>
      <c r="I272"/>
      <c r="J272"/>
      <c r="K272"/>
      <c r="L272"/>
      <c r="N272" s="245"/>
      <c r="O272"/>
      <c r="P272"/>
      <c r="Q272"/>
      <c r="R272"/>
    </row>
    <row r="273" spans="5:18">
      <c r="E273" s="244"/>
      <c r="F273" s="244"/>
      <c r="G273" s="244"/>
      <c r="H273" s="244"/>
      <c r="I273"/>
      <c r="J273"/>
      <c r="K273"/>
      <c r="L273" s="245"/>
      <c r="N273" s="245"/>
      <c r="O273"/>
      <c r="P273"/>
      <c r="Q273"/>
      <c r="R273" s="245"/>
    </row>
    <row r="274" spans="5:18">
      <c r="E274" s="244"/>
      <c r="F274" s="244"/>
      <c r="G274" s="244"/>
      <c r="H274" s="244"/>
      <c r="I274"/>
      <c r="J274"/>
      <c r="K274"/>
      <c r="L274"/>
      <c r="N274" s="245"/>
      <c r="O274"/>
      <c r="P274"/>
      <c r="Q274"/>
      <c r="R274"/>
    </row>
    <row r="275" spans="5:18">
      <c r="E275" s="244"/>
      <c r="F275" s="244"/>
      <c r="G275" s="244"/>
      <c r="H275" s="244"/>
      <c r="I275"/>
      <c r="J275"/>
      <c r="K275"/>
      <c r="L275" s="245"/>
      <c r="N275" s="245"/>
      <c r="O275"/>
      <c r="P275"/>
      <c r="Q275"/>
      <c r="R275" s="245"/>
    </row>
    <row r="276" spans="5:18">
      <c r="E276" s="244"/>
      <c r="F276" s="244"/>
      <c r="G276" s="244"/>
      <c r="H276" s="244"/>
      <c r="I276"/>
      <c r="J276"/>
      <c r="K276"/>
      <c r="L276" s="245"/>
      <c r="N276" s="245"/>
      <c r="O276"/>
      <c r="P276"/>
      <c r="Q276"/>
      <c r="R276" s="245"/>
    </row>
    <row r="277" spans="5:18">
      <c r="E277" s="244"/>
      <c r="F277" s="244"/>
      <c r="G277" s="244"/>
      <c r="H277" s="244"/>
      <c r="I277"/>
      <c r="J277"/>
      <c r="K277"/>
      <c r="L277" s="245"/>
      <c r="N277" s="245"/>
      <c r="O277"/>
      <c r="P277"/>
      <c r="Q277"/>
      <c r="R277" s="245"/>
    </row>
    <row r="278" spans="5:18">
      <c r="E278" s="244"/>
      <c r="F278" s="244"/>
      <c r="G278" s="244"/>
      <c r="H278" s="244"/>
      <c r="I278"/>
      <c r="J278"/>
      <c r="K278"/>
      <c r="L278"/>
      <c r="N278" s="245"/>
      <c r="O278"/>
      <c r="P278"/>
      <c r="Q278"/>
      <c r="R278"/>
    </row>
    <row r="279" spans="5:18">
      <c r="E279" s="244"/>
      <c r="F279" s="244"/>
      <c r="G279" s="244"/>
      <c r="H279" s="244"/>
      <c r="I279"/>
      <c r="J279"/>
      <c r="K279"/>
      <c r="L279" s="245"/>
      <c r="N279" s="245"/>
      <c r="O279"/>
      <c r="P279"/>
      <c r="Q279"/>
      <c r="R279" s="245"/>
    </row>
    <row r="280" spans="5:18">
      <c r="E280" s="244"/>
      <c r="F280" s="244"/>
      <c r="G280" s="244"/>
      <c r="H280" s="244"/>
      <c r="I280"/>
      <c r="J280"/>
      <c r="K280"/>
      <c r="L280"/>
      <c r="N280" s="245"/>
      <c r="O280"/>
      <c r="P280"/>
      <c r="Q280"/>
      <c r="R280"/>
    </row>
    <row r="281" spans="5:18">
      <c r="E281" s="244"/>
      <c r="F281" s="244"/>
      <c r="G281" s="244"/>
      <c r="H281" s="244"/>
      <c r="I281"/>
      <c r="J281"/>
      <c r="K281"/>
      <c r="L281"/>
      <c r="N281" s="245"/>
      <c r="O281"/>
      <c r="P281"/>
      <c r="Q281"/>
      <c r="R281"/>
    </row>
    <row r="282" spans="5:18">
      <c r="E282" s="244"/>
      <c r="F282" s="244"/>
      <c r="G282" s="244"/>
      <c r="H282" s="244"/>
      <c r="I282"/>
      <c r="J282"/>
      <c r="K282"/>
      <c r="L282" s="245"/>
      <c r="N282" s="245"/>
      <c r="O282"/>
      <c r="P282"/>
      <c r="Q282"/>
      <c r="R282" s="245"/>
    </row>
    <row r="283" spans="5:18">
      <c r="E283" s="244"/>
      <c r="F283" s="244"/>
      <c r="G283" s="244"/>
      <c r="H283" s="244"/>
      <c r="I283"/>
      <c r="J283"/>
      <c r="K283"/>
      <c r="L283" s="245"/>
      <c r="N283" s="245"/>
      <c r="O283"/>
      <c r="P283"/>
      <c r="Q283"/>
      <c r="R283" s="245"/>
    </row>
    <row r="284" spans="5:18">
      <c r="E284" s="244"/>
      <c r="F284" s="244"/>
      <c r="G284" s="244"/>
      <c r="H284" s="244"/>
      <c r="I284"/>
      <c r="J284"/>
      <c r="K284"/>
      <c r="L284" s="245"/>
      <c r="N284" s="245"/>
      <c r="O284"/>
      <c r="P284"/>
      <c r="Q284"/>
      <c r="R284" s="245"/>
    </row>
    <row r="285" spans="5:18">
      <c r="E285" s="244"/>
      <c r="F285" s="244"/>
      <c r="G285" s="244"/>
      <c r="H285" s="244"/>
      <c r="I285"/>
      <c r="J285"/>
      <c r="K285"/>
      <c r="L285" s="245"/>
      <c r="N285" s="245"/>
      <c r="O285"/>
      <c r="P285"/>
      <c r="Q285"/>
      <c r="R285" s="245"/>
    </row>
    <row r="286" spans="5:18">
      <c r="E286" s="244"/>
      <c r="F286" s="244"/>
      <c r="G286" s="244"/>
      <c r="H286" s="244"/>
      <c r="I286"/>
      <c r="J286"/>
      <c r="K286"/>
      <c r="L286" s="245"/>
      <c r="N286" s="245"/>
      <c r="O286"/>
      <c r="P286"/>
      <c r="Q286"/>
      <c r="R286" s="245"/>
    </row>
    <row r="287" spans="5:18">
      <c r="E287" s="244"/>
      <c r="F287" s="244"/>
      <c r="G287" s="244"/>
      <c r="H287" s="244"/>
      <c r="I287"/>
      <c r="J287"/>
      <c r="K287"/>
      <c r="L287" s="245"/>
      <c r="N287" s="245"/>
      <c r="O287"/>
      <c r="P287"/>
      <c r="Q287"/>
      <c r="R287" s="245"/>
    </row>
    <row r="288" spans="5:18">
      <c r="E288" s="244"/>
      <c r="F288" s="244"/>
      <c r="G288" s="244"/>
      <c r="H288" s="244"/>
      <c r="I288"/>
      <c r="J288"/>
      <c r="K288"/>
      <c r="L288" s="245"/>
      <c r="N288" s="245"/>
      <c r="O288"/>
      <c r="P288"/>
      <c r="Q288"/>
      <c r="R288" s="245"/>
    </row>
    <row r="289" spans="5:18">
      <c r="E289" s="244"/>
      <c r="F289" s="244"/>
      <c r="G289" s="244"/>
      <c r="H289" s="244"/>
      <c r="I289"/>
      <c r="J289"/>
      <c r="K289"/>
      <c r="L289" s="245"/>
      <c r="N289" s="245"/>
      <c r="O289"/>
      <c r="P289"/>
      <c r="Q289"/>
      <c r="R289" s="245"/>
    </row>
    <row r="290" spans="5:18">
      <c r="E290" s="244"/>
      <c r="F290" s="244"/>
      <c r="G290" s="244"/>
      <c r="H290" s="244"/>
      <c r="I290"/>
      <c r="J290"/>
      <c r="K290"/>
      <c r="L290"/>
      <c r="N290" s="245"/>
      <c r="O290"/>
      <c r="P290"/>
      <c r="Q290"/>
      <c r="R290"/>
    </row>
    <row r="291" spans="5:18">
      <c r="E291" s="244"/>
      <c r="F291" s="244"/>
      <c r="G291" s="244"/>
      <c r="H291" s="244"/>
      <c r="I291"/>
      <c r="J291"/>
      <c r="K291"/>
      <c r="L291"/>
      <c r="N291" s="245"/>
      <c r="O291"/>
      <c r="P291"/>
      <c r="Q291"/>
      <c r="R291"/>
    </row>
    <row r="292" spans="5:18">
      <c r="E292" s="244"/>
      <c r="F292" s="244"/>
      <c r="G292" s="244"/>
      <c r="H292" s="244"/>
      <c r="I292"/>
      <c r="J292"/>
      <c r="K292"/>
      <c r="L292" s="245"/>
      <c r="N292" s="245"/>
      <c r="O292"/>
      <c r="P292"/>
      <c r="Q292"/>
      <c r="R292" s="245"/>
    </row>
    <row r="293" spans="5:18">
      <c r="E293" s="244"/>
      <c r="F293" s="244"/>
      <c r="G293" s="244"/>
      <c r="H293" s="244"/>
      <c r="I293"/>
      <c r="J293"/>
      <c r="K293"/>
      <c r="L293"/>
      <c r="N293" s="245"/>
      <c r="O293"/>
      <c r="P293"/>
      <c r="Q293"/>
      <c r="R293"/>
    </row>
    <row r="294" spans="5:18">
      <c r="E294" s="244"/>
      <c r="F294" s="244"/>
      <c r="G294" s="244"/>
      <c r="H294" s="244"/>
      <c r="I294"/>
      <c r="J294"/>
      <c r="K294"/>
      <c r="L294"/>
      <c r="N294" s="245"/>
      <c r="O294"/>
      <c r="P294"/>
      <c r="Q294"/>
      <c r="R294"/>
    </row>
    <row r="295" spans="5:18">
      <c r="E295" s="244"/>
      <c r="F295" s="244"/>
      <c r="G295" s="244"/>
      <c r="H295" s="244"/>
      <c r="I295"/>
      <c r="J295"/>
      <c r="K295"/>
      <c r="L295" s="245"/>
      <c r="N295" s="245"/>
      <c r="O295"/>
      <c r="P295"/>
      <c r="Q295"/>
      <c r="R295" s="245"/>
    </row>
    <row r="296" spans="5:18">
      <c r="E296" s="244"/>
      <c r="F296" s="244"/>
      <c r="G296" s="244"/>
      <c r="H296" s="244"/>
      <c r="I296"/>
      <c r="J296"/>
      <c r="K296"/>
      <c r="L296"/>
      <c r="N296" s="245"/>
      <c r="O296"/>
      <c r="P296"/>
      <c r="Q296"/>
      <c r="R296"/>
    </row>
    <row r="297" spans="5:18">
      <c r="E297" s="244"/>
      <c r="F297" s="244"/>
      <c r="G297" s="244"/>
      <c r="H297" s="244"/>
      <c r="I297"/>
      <c r="J297"/>
      <c r="K297"/>
      <c r="L297" s="245"/>
      <c r="N297" s="245"/>
      <c r="O297"/>
      <c r="P297"/>
      <c r="Q297"/>
      <c r="R297" s="245"/>
    </row>
    <row r="298" spans="5:18">
      <c r="E298" s="244"/>
      <c r="F298" s="244"/>
      <c r="G298" s="244"/>
      <c r="H298" s="244"/>
      <c r="I298"/>
      <c r="J298"/>
      <c r="K298"/>
      <c r="L298"/>
      <c r="N298" s="245"/>
      <c r="O298"/>
      <c r="P298"/>
      <c r="Q298"/>
      <c r="R298"/>
    </row>
    <row r="299" spans="5:18">
      <c r="E299" s="244"/>
      <c r="F299" s="244"/>
      <c r="G299" s="244"/>
      <c r="H299" s="244"/>
      <c r="I299"/>
      <c r="J299"/>
      <c r="K299"/>
      <c r="L299" s="245"/>
      <c r="N299" s="245"/>
      <c r="O299"/>
      <c r="P299"/>
      <c r="Q299"/>
      <c r="R299" s="245"/>
    </row>
    <row r="300" spans="5:18">
      <c r="E300" s="244"/>
      <c r="F300" s="244"/>
      <c r="G300" s="244"/>
      <c r="H300" s="244"/>
      <c r="I300"/>
      <c r="J300"/>
      <c r="K300"/>
      <c r="L300"/>
      <c r="N300" s="245"/>
      <c r="O300"/>
      <c r="P300"/>
      <c r="Q300"/>
      <c r="R300"/>
    </row>
    <row r="301" spans="5:18">
      <c r="E301" s="244"/>
      <c r="F301" s="244"/>
      <c r="G301" s="244"/>
      <c r="H301" s="244"/>
      <c r="I301"/>
      <c r="J301"/>
      <c r="K301"/>
      <c r="L301" s="245"/>
      <c r="N301" s="245"/>
      <c r="O301"/>
      <c r="P301"/>
      <c r="Q301"/>
      <c r="R301" s="245"/>
    </row>
    <row r="302" spans="5:18">
      <c r="E302" s="244"/>
      <c r="F302" s="244"/>
      <c r="G302" s="244"/>
      <c r="H302" s="244"/>
      <c r="I302"/>
      <c r="J302"/>
      <c r="K302"/>
      <c r="L302" s="245"/>
      <c r="N302" s="245"/>
      <c r="O302"/>
      <c r="P302"/>
      <c r="Q302"/>
      <c r="R302" s="245"/>
    </row>
    <row r="303" spans="5:18">
      <c r="E303" s="244"/>
      <c r="F303" s="244"/>
      <c r="G303" s="244"/>
      <c r="H303" s="244"/>
      <c r="I303"/>
      <c r="J303"/>
      <c r="K303"/>
      <c r="L303" s="245"/>
      <c r="N303" s="245"/>
      <c r="O303"/>
      <c r="P303"/>
      <c r="Q303"/>
      <c r="R303" s="245"/>
    </row>
    <row r="304" spans="5:18">
      <c r="E304" s="244"/>
      <c r="F304" s="244"/>
      <c r="G304" s="244"/>
      <c r="H304" s="244"/>
      <c r="I304"/>
      <c r="J304"/>
      <c r="K304"/>
      <c r="L304"/>
      <c r="N304" s="245"/>
      <c r="O304"/>
      <c r="P304"/>
      <c r="Q304"/>
      <c r="R304"/>
    </row>
    <row r="305" spans="5:18">
      <c r="E305" s="244"/>
      <c r="F305" s="244"/>
      <c r="G305" s="244"/>
      <c r="H305" s="244"/>
      <c r="I305"/>
      <c r="J305"/>
      <c r="K305"/>
      <c r="L305" s="245"/>
      <c r="N305" s="245"/>
      <c r="O305"/>
      <c r="P305"/>
      <c r="Q305"/>
      <c r="R305" s="245"/>
    </row>
    <row r="306" spans="5:18">
      <c r="E306" s="244"/>
      <c r="F306" s="244"/>
      <c r="G306" s="244"/>
      <c r="H306" s="244"/>
      <c r="I306"/>
      <c r="J306"/>
      <c r="K306"/>
      <c r="L306"/>
      <c r="N306" s="245"/>
      <c r="O306"/>
      <c r="P306"/>
      <c r="Q306"/>
      <c r="R306"/>
    </row>
    <row r="307" spans="5:18">
      <c r="E307" s="244"/>
      <c r="F307" s="244"/>
      <c r="G307" s="244"/>
      <c r="H307" s="244"/>
      <c r="I307"/>
      <c r="J307"/>
      <c r="K307"/>
      <c r="L307" s="245"/>
      <c r="N307" s="245"/>
      <c r="O307"/>
      <c r="P307"/>
      <c r="Q307"/>
      <c r="R307" s="245"/>
    </row>
    <row r="308" spans="5:18">
      <c r="E308" s="244"/>
      <c r="F308" s="244"/>
      <c r="G308" s="244"/>
      <c r="H308" s="244"/>
      <c r="I308"/>
      <c r="J308"/>
      <c r="K308"/>
      <c r="L308"/>
      <c r="N308" s="245"/>
      <c r="O308"/>
      <c r="P308"/>
      <c r="Q308"/>
      <c r="R308"/>
    </row>
    <row r="309" spans="5:18">
      <c r="E309" s="244"/>
      <c r="F309" s="244"/>
      <c r="G309" s="244"/>
      <c r="H309" s="244"/>
      <c r="I309"/>
      <c r="J309"/>
      <c r="K309"/>
      <c r="L309" s="245"/>
      <c r="N309" s="245"/>
      <c r="O309"/>
      <c r="P309"/>
      <c r="Q309"/>
      <c r="R309" s="245"/>
    </row>
    <row r="310" spans="5:18">
      <c r="E310" s="244"/>
      <c r="F310" s="244"/>
      <c r="G310" s="244"/>
      <c r="H310" s="244"/>
      <c r="I310"/>
      <c r="J310"/>
      <c r="K310"/>
      <c r="L310" s="245"/>
      <c r="N310" s="245"/>
      <c r="O310"/>
      <c r="P310"/>
      <c r="Q310"/>
      <c r="R310" s="245"/>
    </row>
    <row r="311" spans="5:18">
      <c r="E311" s="244"/>
      <c r="F311" s="244"/>
      <c r="G311" s="244"/>
      <c r="H311" s="244"/>
      <c r="I311"/>
      <c r="J311"/>
      <c r="K311"/>
      <c r="L311" s="245"/>
      <c r="N311" s="245"/>
      <c r="O311"/>
      <c r="P311"/>
      <c r="Q311"/>
      <c r="R311" s="245"/>
    </row>
    <row r="312" spans="5:18">
      <c r="E312" s="244"/>
      <c r="F312" s="244"/>
      <c r="G312" s="244"/>
      <c r="H312" s="244"/>
      <c r="I312"/>
      <c r="J312"/>
      <c r="K312"/>
      <c r="L312" s="245"/>
      <c r="N312" s="245"/>
      <c r="O312"/>
      <c r="P312"/>
      <c r="Q312"/>
      <c r="R312" s="245"/>
    </row>
    <row r="313" spans="5:18">
      <c r="E313" s="244"/>
      <c r="F313" s="244"/>
      <c r="G313" s="244"/>
      <c r="H313" s="244"/>
      <c r="I313"/>
      <c r="J313"/>
      <c r="K313"/>
      <c r="L313" s="245"/>
      <c r="N313" s="245"/>
      <c r="O313"/>
      <c r="P313"/>
      <c r="Q313"/>
      <c r="R313" s="245"/>
    </row>
    <row r="314" spans="5:18">
      <c r="E314" s="244"/>
      <c r="F314" s="244"/>
      <c r="G314" s="244"/>
      <c r="H314" s="244"/>
      <c r="I314"/>
      <c r="J314"/>
      <c r="K314"/>
      <c r="L314" s="245"/>
      <c r="N314" s="245"/>
      <c r="O314"/>
      <c r="P314"/>
      <c r="Q314"/>
      <c r="R314" s="245"/>
    </row>
    <row r="315" spans="5:18">
      <c r="E315" s="244"/>
      <c r="F315" s="244"/>
      <c r="G315" s="244"/>
      <c r="H315" s="244"/>
      <c r="I315"/>
      <c r="J315"/>
      <c r="K315"/>
      <c r="L315" s="245"/>
      <c r="N315" s="245"/>
      <c r="O315"/>
      <c r="P315"/>
      <c r="Q315"/>
      <c r="R315" s="245"/>
    </row>
    <row r="316" spans="5:18">
      <c r="E316" s="244"/>
      <c r="F316" s="244"/>
      <c r="G316" s="244"/>
      <c r="H316" s="244"/>
      <c r="I316"/>
      <c r="J316"/>
      <c r="K316"/>
      <c r="L316" s="245"/>
      <c r="N316" s="245"/>
      <c r="O316"/>
      <c r="P316"/>
      <c r="Q316"/>
      <c r="R316" s="245"/>
    </row>
    <row r="317" spans="5:18">
      <c r="E317" s="244"/>
      <c r="F317" s="244"/>
      <c r="G317" s="244"/>
      <c r="H317" s="244"/>
      <c r="I317"/>
      <c r="J317"/>
      <c r="K317"/>
      <c r="L317" s="245"/>
      <c r="N317" s="245"/>
      <c r="O317"/>
      <c r="P317"/>
      <c r="Q317"/>
      <c r="R317" s="245"/>
    </row>
    <row r="318" spans="5:18">
      <c r="E318" s="244"/>
      <c r="F318" s="244"/>
      <c r="G318" s="244"/>
      <c r="H318" s="244"/>
      <c r="I318"/>
      <c r="J318"/>
      <c r="K318"/>
      <c r="L318" s="245"/>
      <c r="N318" s="245"/>
      <c r="O318"/>
      <c r="P318"/>
      <c r="Q318"/>
      <c r="R318" s="245"/>
    </row>
    <row r="319" spans="5:18">
      <c r="E319" s="244"/>
      <c r="F319" s="244"/>
      <c r="G319" s="244"/>
      <c r="H319" s="244"/>
      <c r="I319"/>
      <c r="J319"/>
      <c r="K319"/>
      <c r="L319" s="245"/>
      <c r="N319" s="245"/>
      <c r="O319"/>
      <c r="P319"/>
      <c r="Q319"/>
      <c r="R319" s="245"/>
    </row>
    <row r="320" spans="5:18">
      <c r="E320" s="244"/>
      <c r="F320" s="244"/>
      <c r="G320" s="244"/>
      <c r="H320" s="244"/>
      <c r="I320"/>
      <c r="J320"/>
      <c r="K320"/>
      <c r="L320"/>
      <c r="N320" s="245"/>
      <c r="O320"/>
      <c r="P320"/>
      <c r="Q320"/>
      <c r="R320"/>
    </row>
    <row r="321" spans="5:18">
      <c r="E321" s="244"/>
      <c r="F321" s="244"/>
      <c r="G321" s="244"/>
      <c r="H321" s="244"/>
      <c r="I321"/>
      <c r="J321"/>
      <c r="K321"/>
      <c r="L321"/>
      <c r="N321" s="245"/>
      <c r="O321"/>
      <c r="P321"/>
      <c r="Q321"/>
      <c r="R321"/>
    </row>
    <row r="322" spans="5:18">
      <c r="E322" s="244"/>
      <c r="F322" s="244"/>
      <c r="G322" s="244"/>
      <c r="H322" s="244"/>
      <c r="I322"/>
      <c r="J322"/>
      <c r="K322"/>
      <c r="L322"/>
      <c r="N322" s="245"/>
      <c r="O322"/>
      <c r="P322"/>
      <c r="Q322"/>
      <c r="R322"/>
    </row>
    <row r="323" spans="5:18">
      <c r="E323" s="244"/>
      <c r="F323" s="244"/>
      <c r="G323" s="244"/>
      <c r="H323" s="244"/>
      <c r="I323"/>
      <c r="J323"/>
      <c r="K323"/>
      <c r="L323"/>
      <c r="N323" s="245"/>
      <c r="O323"/>
      <c r="P323"/>
      <c r="Q323"/>
      <c r="R323"/>
    </row>
    <row r="324" spans="5:18">
      <c r="E324" s="244"/>
      <c r="F324" s="244"/>
      <c r="G324" s="244"/>
      <c r="H324" s="244"/>
      <c r="I324"/>
      <c r="J324"/>
      <c r="K324"/>
      <c r="L324" s="245"/>
      <c r="N324" s="245"/>
      <c r="O324"/>
      <c r="P324"/>
      <c r="Q324"/>
      <c r="R324" s="245"/>
    </row>
    <row r="325" spans="5:18">
      <c r="E325" s="244"/>
      <c r="F325" s="244"/>
      <c r="G325" s="244"/>
      <c r="H325" s="244"/>
      <c r="I325"/>
      <c r="J325"/>
      <c r="K325"/>
      <c r="L325" s="245"/>
      <c r="N325" s="245"/>
      <c r="O325"/>
      <c r="P325"/>
      <c r="Q325"/>
      <c r="R325" s="245"/>
    </row>
    <row r="326" spans="5:18">
      <c r="E326" s="244"/>
      <c r="F326" s="244"/>
      <c r="G326" s="244"/>
      <c r="H326" s="244"/>
      <c r="I326"/>
      <c r="J326"/>
      <c r="K326"/>
      <c r="L326"/>
      <c r="N326" s="245"/>
      <c r="O326"/>
      <c r="P326"/>
      <c r="Q326"/>
      <c r="R326"/>
    </row>
    <row r="327" spans="5:18">
      <c r="E327" s="244"/>
      <c r="F327" s="244"/>
      <c r="G327" s="244"/>
      <c r="H327" s="244"/>
      <c r="I327"/>
      <c r="J327"/>
      <c r="K327"/>
      <c r="L327" s="245"/>
      <c r="N327" s="245"/>
      <c r="O327"/>
      <c r="P327"/>
      <c r="Q327"/>
      <c r="R327" s="245"/>
    </row>
    <row r="328" spans="5:18">
      <c r="E328" s="244"/>
      <c r="F328" s="244"/>
      <c r="G328" s="244"/>
      <c r="H328" s="244"/>
      <c r="I328"/>
      <c r="J328"/>
      <c r="K328"/>
      <c r="L328"/>
      <c r="N328" s="245"/>
      <c r="O328"/>
      <c r="P328"/>
      <c r="Q328"/>
      <c r="R328"/>
    </row>
    <row r="329" spans="5:18">
      <c r="E329" s="244"/>
      <c r="F329" s="244"/>
      <c r="G329" s="244"/>
      <c r="H329" s="244"/>
      <c r="I329"/>
      <c r="J329"/>
      <c r="K329"/>
      <c r="L329" s="245"/>
      <c r="N329" s="245"/>
      <c r="O329"/>
      <c r="P329"/>
      <c r="Q329"/>
      <c r="R329" s="245"/>
    </row>
    <row r="330" spans="5:18">
      <c r="E330" s="244"/>
      <c r="F330" s="244"/>
      <c r="G330" s="244"/>
      <c r="H330" s="244"/>
      <c r="I330"/>
      <c r="J330"/>
      <c r="K330"/>
      <c r="L330"/>
      <c r="N330" s="245"/>
      <c r="O330"/>
      <c r="P330"/>
      <c r="Q330"/>
      <c r="R330"/>
    </row>
    <row r="331" spans="5:18">
      <c r="E331" s="244"/>
      <c r="F331" s="244"/>
      <c r="G331" s="244"/>
      <c r="H331" s="244"/>
      <c r="I331"/>
      <c r="J331"/>
      <c r="K331"/>
      <c r="L331" s="245"/>
      <c r="N331" s="245"/>
      <c r="O331"/>
      <c r="P331"/>
      <c r="Q331"/>
      <c r="R331" s="245"/>
    </row>
    <row r="332" spans="5:18">
      <c r="E332" s="244"/>
      <c r="F332" s="244"/>
      <c r="G332" s="244"/>
      <c r="H332" s="244"/>
      <c r="I332"/>
      <c r="J332"/>
      <c r="K332"/>
      <c r="L332"/>
      <c r="N332" s="245"/>
      <c r="O332"/>
      <c r="P332"/>
      <c r="Q332"/>
      <c r="R332"/>
    </row>
    <row r="333" spans="5:18">
      <c r="E333" s="244"/>
      <c r="F333" s="244"/>
      <c r="G333" s="244"/>
      <c r="H333" s="244"/>
      <c r="I333"/>
      <c r="J333"/>
      <c r="K333"/>
      <c r="L333"/>
      <c r="N333" s="245"/>
      <c r="O333"/>
      <c r="P333"/>
      <c r="Q333"/>
      <c r="R333"/>
    </row>
    <row r="334" spans="5:18">
      <c r="E334" s="244"/>
      <c r="F334" s="244"/>
      <c r="G334" s="244"/>
      <c r="H334" s="244"/>
      <c r="I334"/>
      <c r="J334"/>
      <c r="K334"/>
      <c r="L334"/>
      <c r="N334" s="245"/>
      <c r="O334"/>
      <c r="P334"/>
      <c r="Q334"/>
      <c r="R334"/>
    </row>
    <row r="335" spans="5:18">
      <c r="E335" s="244"/>
      <c r="F335" s="244"/>
      <c r="G335" s="244"/>
      <c r="H335" s="244"/>
      <c r="I335"/>
      <c r="J335"/>
      <c r="K335"/>
      <c r="L335" s="245"/>
      <c r="N335" s="245"/>
      <c r="O335"/>
      <c r="P335"/>
      <c r="Q335"/>
      <c r="R335" s="245"/>
    </row>
    <row r="336" spans="5:18">
      <c r="E336" s="244"/>
      <c r="F336" s="244"/>
      <c r="G336" s="244"/>
      <c r="H336" s="244"/>
      <c r="I336"/>
      <c r="J336"/>
      <c r="K336"/>
      <c r="L336"/>
      <c r="N336" s="245"/>
      <c r="O336"/>
      <c r="P336"/>
      <c r="Q336"/>
      <c r="R336"/>
    </row>
    <row r="337" spans="5:18">
      <c r="E337" s="244"/>
      <c r="F337" s="244"/>
      <c r="G337" s="244"/>
      <c r="H337" s="244"/>
      <c r="I337"/>
      <c r="J337"/>
      <c r="K337"/>
      <c r="L337" s="245"/>
      <c r="N337" s="245"/>
      <c r="O337"/>
      <c r="P337"/>
      <c r="Q337"/>
      <c r="R337" s="245"/>
    </row>
    <row r="338" spans="5:18">
      <c r="E338" s="244"/>
      <c r="F338" s="244"/>
      <c r="G338" s="244"/>
      <c r="H338" s="244"/>
      <c r="I338"/>
      <c r="J338"/>
      <c r="K338"/>
      <c r="L338" s="245"/>
      <c r="N338" s="245"/>
      <c r="O338"/>
      <c r="P338"/>
      <c r="Q338"/>
      <c r="R338" s="245"/>
    </row>
    <row r="339" spans="5:18">
      <c r="E339" s="244"/>
      <c r="F339" s="244"/>
      <c r="G339" s="244"/>
      <c r="H339" s="244"/>
      <c r="I339"/>
      <c r="J339"/>
      <c r="K339"/>
      <c r="L339" s="245"/>
      <c r="N339" s="245"/>
      <c r="O339"/>
      <c r="P339"/>
      <c r="Q339"/>
      <c r="R339" s="245"/>
    </row>
    <row r="340" spans="5:18">
      <c r="E340" s="244"/>
      <c r="F340" s="244"/>
      <c r="G340" s="244"/>
      <c r="H340" s="244"/>
      <c r="I340"/>
      <c r="J340"/>
      <c r="K340"/>
      <c r="L340" s="245"/>
      <c r="N340" s="245"/>
      <c r="O340"/>
      <c r="P340"/>
      <c r="Q340"/>
      <c r="R340" s="245"/>
    </row>
    <row r="341" spans="5:18">
      <c r="E341" s="244"/>
      <c r="F341" s="244"/>
      <c r="G341" s="244"/>
      <c r="H341" s="244"/>
      <c r="I341"/>
      <c r="J341"/>
      <c r="K341"/>
      <c r="L341" s="245"/>
      <c r="N341" s="245"/>
      <c r="O341"/>
      <c r="P341"/>
      <c r="Q341"/>
      <c r="R341" s="245"/>
    </row>
    <row r="342" spans="5:18">
      <c r="E342" s="244"/>
      <c r="F342" s="244"/>
      <c r="G342" s="244"/>
      <c r="H342" s="244"/>
      <c r="I342"/>
      <c r="J342"/>
      <c r="K342"/>
      <c r="L342" s="245"/>
      <c r="N342" s="245"/>
      <c r="O342"/>
      <c r="P342"/>
      <c r="Q342"/>
      <c r="R342" s="245"/>
    </row>
    <row r="343" spans="5:18">
      <c r="E343" s="244"/>
      <c r="F343" s="244"/>
      <c r="G343" s="244"/>
      <c r="H343" s="244"/>
      <c r="I343"/>
      <c r="J343"/>
      <c r="K343"/>
      <c r="L343" s="245"/>
      <c r="N343" s="245"/>
      <c r="O343"/>
      <c r="P343"/>
      <c r="Q343"/>
      <c r="R343" s="245"/>
    </row>
    <row r="344" spans="5:18">
      <c r="E344" s="244"/>
      <c r="F344" s="244"/>
      <c r="G344" s="244"/>
      <c r="H344" s="244"/>
      <c r="I344"/>
      <c r="J344"/>
      <c r="K344"/>
      <c r="L344" s="245"/>
      <c r="N344" s="245"/>
      <c r="O344"/>
      <c r="P344"/>
      <c r="Q344"/>
      <c r="R344" s="245"/>
    </row>
    <row r="345" spans="5:18">
      <c r="E345" s="244"/>
      <c r="F345" s="244"/>
      <c r="G345" s="244"/>
      <c r="H345" s="244"/>
      <c r="I345"/>
      <c r="J345"/>
      <c r="K345"/>
      <c r="L345"/>
      <c r="N345" s="245"/>
      <c r="O345"/>
      <c r="P345"/>
      <c r="Q345"/>
      <c r="R345"/>
    </row>
    <row r="346" spans="5:18">
      <c r="E346" s="244"/>
      <c r="F346" s="244"/>
      <c r="G346" s="244"/>
      <c r="H346" s="244"/>
      <c r="I346"/>
      <c r="J346"/>
      <c r="K346"/>
      <c r="L346" s="245"/>
      <c r="N346" s="245"/>
      <c r="O346"/>
      <c r="P346"/>
      <c r="Q346"/>
      <c r="R346" s="245"/>
    </row>
    <row r="347" spans="5:18">
      <c r="E347" s="244"/>
      <c r="F347" s="244"/>
      <c r="G347" s="244"/>
      <c r="H347" s="244"/>
      <c r="I347"/>
      <c r="J347"/>
      <c r="K347"/>
      <c r="L347" s="245"/>
      <c r="N347" s="245"/>
      <c r="O347"/>
      <c r="P347"/>
      <c r="Q347"/>
      <c r="R347" s="245"/>
    </row>
    <row r="348" spans="5:18">
      <c r="E348" s="244"/>
      <c r="F348" s="244"/>
      <c r="G348" s="244"/>
      <c r="H348" s="244"/>
      <c r="I348"/>
      <c r="J348"/>
      <c r="K348"/>
      <c r="L348"/>
      <c r="N348" s="245"/>
      <c r="O348"/>
      <c r="P348"/>
      <c r="Q348"/>
      <c r="R348"/>
    </row>
    <row r="349" spans="5:18">
      <c r="E349" s="244"/>
      <c r="F349" s="244"/>
      <c r="G349" s="244"/>
      <c r="H349" s="244"/>
      <c r="I349"/>
      <c r="J349"/>
      <c r="K349"/>
      <c r="L349" s="245"/>
      <c r="N349" s="245"/>
      <c r="O349"/>
      <c r="P349"/>
      <c r="Q349"/>
      <c r="R349" s="245"/>
    </row>
    <row r="350" spans="5:18">
      <c r="E350" s="244"/>
      <c r="F350" s="244"/>
      <c r="G350" s="244"/>
      <c r="H350" s="244"/>
      <c r="I350"/>
      <c r="J350"/>
      <c r="K350"/>
      <c r="L350"/>
      <c r="N350" s="245"/>
      <c r="O350"/>
      <c r="P350"/>
      <c r="Q350"/>
      <c r="R350"/>
    </row>
    <row r="351" spans="5:18">
      <c r="E351" s="244"/>
      <c r="F351" s="244"/>
      <c r="G351" s="244"/>
      <c r="H351" s="244"/>
      <c r="I351"/>
      <c r="J351"/>
      <c r="K351"/>
      <c r="L351" s="245"/>
      <c r="N351" s="245"/>
      <c r="O351"/>
      <c r="P351"/>
      <c r="Q351"/>
      <c r="R351" s="245"/>
    </row>
    <row r="352" spans="5:18">
      <c r="E352" s="244"/>
      <c r="F352" s="244"/>
      <c r="G352" s="244"/>
      <c r="H352" s="244"/>
      <c r="I352"/>
      <c r="J352"/>
      <c r="K352"/>
      <c r="L352"/>
      <c r="N352" s="245"/>
      <c r="O352"/>
      <c r="P352"/>
      <c r="Q352"/>
      <c r="R352"/>
    </row>
    <row r="353" spans="5:18">
      <c r="E353" s="244"/>
      <c r="F353" s="244"/>
      <c r="G353" s="244"/>
      <c r="H353" s="244"/>
      <c r="I353"/>
      <c r="J353"/>
      <c r="K353"/>
      <c r="L353"/>
      <c r="N353" s="245"/>
      <c r="O353"/>
      <c r="P353"/>
      <c r="Q353"/>
      <c r="R353"/>
    </row>
    <row r="354" spans="5:18">
      <c r="E354" s="244"/>
      <c r="F354" s="244"/>
      <c r="G354" s="244"/>
      <c r="H354" s="244"/>
      <c r="I354"/>
      <c r="J354"/>
      <c r="K354"/>
      <c r="L354" s="245"/>
      <c r="N354" s="245"/>
      <c r="O354"/>
      <c r="P354"/>
      <c r="Q354"/>
      <c r="R354" s="245"/>
    </row>
    <row r="355" spans="5:18">
      <c r="E355" s="244"/>
      <c r="F355" s="244"/>
      <c r="G355" s="244"/>
      <c r="H355" s="244"/>
      <c r="I355"/>
      <c r="J355"/>
      <c r="K355"/>
      <c r="L355" s="245"/>
      <c r="N355" s="245"/>
      <c r="O355"/>
      <c r="P355"/>
      <c r="Q355"/>
      <c r="R355" s="245"/>
    </row>
    <row r="356" spans="5:18">
      <c r="E356" s="244"/>
      <c r="F356" s="244"/>
      <c r="G356" s="244"/>
      <c r="H356" s="244"/>
      <c r="I356"/>
      <c r="J356"/>
      <c r="K356"/>
      <c r="L356" s="245"/>
      <c r="N356" s="245"/>
      <c r="O356"/>
      <c r="P356"/>
      <c r="Q356"/>
      <c r="R356" s="245"/>
    </row>
    <row r="357" spans="5:18">
      <c r="E357" s="244"/>
      <c r="F357" s="244"/>
      <c r="G357" s="244"/>
      <c r="H357" s="244"/>
      <c r="I357"/>
      <c r="J357"/>
      <c r="K357"/>
      <c r="L357" s="245"/>
      <c r="N357" s="245"/>
      <c r="O357"/>
      <c r="P357"/>
      <c r="Q357"/>
      <c r="R357" s="245"/>
    </row>
    <row r="358" spans="5:18">
      <c r="E358" s="244"/>
      <c r="F358" s="244"/>
      <c r="G358" s="244"/>
      <c r="H358" s="244"/>
      <c r="I358"/>
      <c r="J358"/>
      <c r="K358"/>
      <c r="L358"/>
      <c r="N358" s="245"/>
      <c r="O358"/>
      <c r="P358"/>
      <c r="Q358"/>
      <c r="R358"/>
    </row>
    <row r="359" spans="5:18">
      <c r="E359" s="244"/>
      <c r="F359" s="244"/>
      <c r="G359" s="244"/>
      <c r="H359" s="244"/>
      <c r="I359"/>
      <c r="J359"/>
      <c r="K359"/>
      <c r="L359"/>
      <c r="N359" s="245"/>
      <c r="O359"/>
      <c r="P359"/>
      <c r="Q359"/>
      <c r="R359"/>
    </row>
    <row r="360" spans="5:18">
      <c r="E360" s="244"/>
      <c r="F360" s="244"/>
      <c r="G360" s="244"/>
      <c r="H360" s="244"/>
      <c r="I360"/>
      <c r="J360"/>
      <c r="K360"/>
      <c r="L360" s="245"/>
      <c r="N360" s="245"/>
      <c r="O360"/>
      <c r="P360"/>
      <c r="Q360"/>
      <c r="R360" s="245"/>
    </row>
    <row r="361" spans="5:18">
      <c r="E361" s="244"/>
      <c r="F361" s="244"/>
      <c r="G361" s="244"/>
      <c r="H361" s="244"/>
      <c r="I361"/>
      <c r="J361"/>
      <c r="K361"/>
      <c r="L361"/>
      <c r="N361" s="245"/>
      <c r="O361"/>
      <c r="P361"/>
      <c r="Q361"/>
      <c r="R361"/>
    </row>
    <row r="362" spans="5:18">
      <c r="E362" s="244"/>
      <c r="F362" s="244"/>
      <c r="G362" s="244"/>
      <c r="H362" s="244"/>
      <c r="I362"/>
      <c r="J362"/>
      <c r="K362"/>
      <c r="L362" s="245"/>
      <c r="N362" s="245"/>
      <c r="O362"/>
      <c r="P362"/>
      <c r="Q362"/>
      <c r="R362" s="245"/>
    </row>
    <row r="363" spans="5:18">
      <c r="E363" s="244"/>
      <c r="F363" s="244"/>
      <c r="G363" s="244"/>
      <c r="H363" s="244"/>
      <c r="I363"/>
      <c r="J363"/>
      <c r="K363"/>
      <c r="L363" s="245"/>
      <c r="N363" s="245"/>
      <c r="O363"/>
      <c r="P363"/>
      <c r="Q363"/>
      <c r="R363" s="245"/>
    </row>
    <row r="364" spans="5:18">
      <c r="E364" s="244"/>
      <c r="F364" s="244"/>
      <c r="G364" s="244"/>
      <c r="H364" s="244"/>
      <c r="I364"/>
      <c r="J364"/>
      <c r="K364"/>
      <c r="L364" s="245"/>
      <c r="N364" s="245"/>
      <c r="O364"/>
      <c r="P364"/>
      <c r="Q364"/>
      <c r="R364" s="245"/>
    </row>
    <row r="365" spans="5:18">
      <c r="E365" s="244"/>
      <c r="F365" s="244"/>
      <c r="G365" s="244"/>
      <c r="H365" s="244"/>
      <c r="I365"/>
      <c r="J365"/>
      <c r="K365"/>
      <c r="L365"/>
      <c r="N365" s="245"/>
      <c r="O365"/>
      <c r="P365"/>
      <c r="Q365"/>
      <c r="R365"/>
    </row>
    <row r="366" spans="5:18">
      <c r="E366" s="244"/>
      <c r="F366" s="244"/>
      <c r="G366" s="244"/>
      <c r="H366" s="244"/>
      <c r="I366"/>
      <c r="J366"/>
      <c r="K366"/>
      <c r="L366" s="245"/>
      <c r="N366" s="245"/>
      <c r="O366"/>
      <c r="P366"/>
      <c r="Q366"/>
      <c r="R366" s="245"/>
    </row>
    <row r="367" spans="5:18">
      <c r="E367" s="244"/>
      <c r="F367" s="244"/>
      <c r="G367" s="244"/>
      <c r="H367" s="244"/>
      <c r="I367"/>
      <c r="J367"/>
      <c r="K367"/>
      <c r="L367" s="245"/>
      <c r="N367" s="245"/>
      <c r="O367"/>
      <c r="P367"/>
      <c r="Q367"/>
      <c r="R367" s="245"/>
    </row>
    <row r="368" spans="5:18">
      <c r="E368" s="244"/>
      <c r="F368" s="244"/>
      <c r="G368" s="244"/>
      <c r="H368" s="244"/>
      <c r="I368"/>
      <c r="J368"/>
      <c r="K368"/>
      <c r="L368" s="245"/>
      <c r="N368" s="245"/>
      <c r="O368"/>
      <c r="P368"/>
      <c r="Q368"/>
      <c r="R368" s="245"/>
    </row>
    <row r="369" spans="5:18">
      <c r="E369" s="244"/>
      <c r="F369" s="244"/>
      <c r="G369" s="244"/>
      <c r="H369" s="244"/>
      <c r="I369"/>
      <c r="J369"/>
      <c r="K369"/>
      <c r="L369" s="245"/>
      <c r="N369" s="245"/>
      <c r="O369"/>
      <c r="P369"/>
      <c r="Q369"/>
      <c r="R369" s="245"/>
    </row>
    <row r="370" spans="5:18">
      <c r="E370" s="244"/>
      <c r="F370" s="244"/>
      <c r="G370" s="244"/>
      <c r="H370" s="244"/>
      <c r="I370"/>
      <c r="J370"/>
      <c r="K370"/>
      <c r="L370" s="245"/>
      <c r="N370" s="245"/>
      <c r="O370"/>
      <c r="P370"/>
      <c r="Q370"/>
      <c r="R370" s="245"/>
    </row>
    <row r="371" spans="5:18">
      <c r="E371" s="244"/>
      <c r="F371" s="244"/>
      <c r="G371" s="244"/>
      <c r="H371" s="244"/>
      <c r="I371"/>
      <c r="J371"/>
      <c r="K371"/>
      <c r="L371" s="245"/>
      <c r="N371" s="245"/>
      <c r="O371"/>
      <c r="P371"/>
      <c r="Q371"/>
      <c r="R371" s="245"/>
    </row>
    <row r="372" spans="5:18">
      <c r="E372" s="244"/>
      <c r="F372" s="244"/>
      <c r="G372" s="244"/>
      <c r="H372" s="244"/>
      <c r="I372"/>
      <c r="J372"/>
      <c r="K372"/>
      <c r="L372"/>
      <c r="N372" s="245"/>
      <c r="O372"/>
      <c r="P372"/>
      <c r="Q372"/>
      <c r="R372"/>
    </row>
    <row r="373" spans="5:18">
      <c r="E373" s="244"/>
      <c r="F373" s="244"/>
      <c r="G373" s="244"/>
      <c r="H373" s="244"/>
      <c r="I373"/>
      <c r="J373"/>
      <c r="K373"/>
      <c r="L373"/>
      <c r="N373" s="245"/>
      <c r="O373"/>
      <c r="P373"/>
      <c r="Q373"/>
      <c r="R373"/>
    </row>
    <row r="374" spans="5:18">
      <c r="E374" s="244"/>
      <c r="F374" s="244"/>
      <c r="G374" s="244"/>
      <c r="H374" s="244"/>
      <c r="I374"/>
      <c r="J374"/>
      <c r="K374"/>
      <c r="L374"/>
      <c r="N374" s="245"/>
      <c r="O374"/>
      <c r="P374"/>
      <c r="Q374"/>
      <c r="R374"/>
    </row>
    <row r="375" spans="5:18">
      <c r="E375" s="244"/>
      <c r="F375" s="244"/>
      <c r="G375" s="244"/>
      <c r="H375" s="244"/>
      <c r="I375"/>
      <c r="J375"/>
      <c r="K375"/>
      <c r="L375"/>
      <c r="N375" s="245"/>
      <c r="O375"/>
      <c r="P375"/>
      <c r="Q375"/>
      <c r="R375"/>
    </row>
    <row r="376" spans="5:18">
      <c r="E376" s="244"/>
      <c r="F376" s="244"/>
      <c r="G376" s="244"/>
      <c r="H376" s="244"/>
      <c r="I376"/>
      <c r="J376"/>
      <c r="K376"/>
      <c r="L376" s="245"/>
      <c r="N376" s="245"/>
      <c r="O376"/>
      <c r="P376"/>
      <c r="Q376"/>
      <c r="R376" s="245"/>
    </row>
    <row r="377" spans="5:18">
      <c r="E377" s="244"/>
      <c r="F377" s="244"/>
      <c r="G377" s="244"/>
      <c r="H377" s="244"/>
      <c r="I377"/>
      <c r="J377"/>
      <c r="K377"/>
      <c r="L377" s="245"/>
      <c r="N377" s="245"/>
      <c r="O377"/>
      <c r="P377"/>
      <c r="Q377"/>
      <c r="R377" s="245"/>
    </row>
    <row r="378" spans="5:18">
      <c r="E378" s="244"/>
      <c r="F378" s="244"/>
      <c r="G378" s="244"/>
      <c r="H378" s="244"/>
      <c r="I378"/>
      <c r="J378"/>
      <c r="K378"/>
      <c r="L378"/>
      <c r="N378" s="245"/>
      <c r="O378"/>
      <c r="P378"/>
      <c r="Q378"/>
      <c r="R378"/>
    </row>
    <row r="379" spans="5:18">
      <c r="E379" s="244"/>
      <c r="F379" s="244"/>
      <c r="G379" s="244"/>
      <c r="H379" s="244"/>
      <c r="I379"/>
      <c r="J379"/>
      <c r="K379"/>
      <c r="L379"/>
      <c r="N379" s="245"/>
      <c r="O379"/>
      <c r="P379"/>
      <c r="Q379"/>
      <c r="R379"/>
    </row>
    <row r="380" spans="5:18">
      <c r="E380" s="244"/>
      <c r="F380" s="244"/>
      <c r="G380" s="244"/>
      <c r="H380" s="244"/>
      <c r="I380"/>
      <c r="J380"/>
      <c r="K380"/>
      <c r="L380" s="245"/>
      <c r="N380" s="245"/>
      <c r="O380"/>
      <c r="P380"/>
      <c r="Q380"/>
      <c r="R380" s="245"/>
    </row>
    <row r="381" spans="5:18">
      <c r="E381" s="244"/>
      <c r="F381" s="244"/>
      <c r="G381" s="244"/>
      <c r="H381" s="244"/>
      <c r="I381"/>
      <c r="J381"/>
      <c r="K381"/>
      <c r="L381" s="245"/>
      <c r="N381" s="245"/>
      <c r="O381"/>
      <c r="P381"/>
      <c r="Q381"/>
      <c r="R381" s="245"/>
    </row>
    <row r="382" spans="5:18">
      <c r="E382" s="244"/>
      <c r="F382" s="244"/>
      <c r="G382" s="244"/>
      <c r="H382" s="244"/>
      <c r="I382"/>
      <c r="J382"/>
      <c r="K382"/>
      <c r="L382"/>
      <c r="N382" s="245"/>
      <c r="O382"/>
      <c r="P382"/>
      <c r="Q382"/>
      <c r="R382"/>
    </row>
    <row r="383" spans="5:18">
      <c r="E383" s="244"/>
      <c r="F383" s="244"/>
      <c r="G383" s="244"/>
      <c r="H383" s="244"/>
      <c r="I383"/>
      <c r="J383"/>
      <c r="K383"/>
      <c r="L383"/>
      <c r="N383" s="245"/>
      <c r="O383"/>
      <c r="P383"/>
      <c r="Q383"/>
      <c r="R383"/>
    </row>
    <row r="384" spans="5:18">
      <c r="E384" s="244"/>
      <c r="F384" s="244"/>
      <c r="G384" s="244"/>
      <c r="H384" s="244"/>
      <c r="I384"/>
      <c r="J384"/>
      <c r="K384"/>
      <c r="L384" s="245"/>
      <c r="N384" s="245"/>
      <c r="O384"/>
      <c r="P384"/>
      <c r="Q384"/>
      <c r="R384" s="245"/>
    </row>
    <row r="385" spans="5:18">
      <c r="E385" s="244"/>
      <c r="F385" s="244"/>
      <c r="G385" s="244"/>
      <c r="H385" s="244"/>
      <c r="I385"/>
      <c r="J385"/>
      <c r="K385"/>
      <c r="L385" s="245"/>
      <c r="N385" s="245"/>
      <c r="O385"/>
      <c r="P385"/>
      <c r="Q385"/>
      <c r="R385" s="245"/>
    </row>
    <row r="386" spans="5:18">
      <c r="E386" s="244"/>
      <c r="F386" s="244"/>
      <c r="G386" s="244"/>
      <c r="H386" s="244"/>
      <c r="I386"/>
      <c r="J386"/>
      <c r="K386"/>
      <c r="L386" s="245"/>
      <c r="N386" s="245"/>
      <c r="O386"/>
      <c r="P386"/>
      <c r="Q386"/>
      <c r="R386" s="245"/>
    </row>
    <row r="387" spans="5:18">
      <c r="E387" s="244"/>
      <c r="F387" s="244"/>
      <c r="G387" s="244"/>
      <c r="H387" s="244"/>
      <c r="I387"/>
      <c r="J387"/>
      <c r="K387"/>
      <c r="L387"/>
      <c r="N387" s="245"/>
      <c r="O387"/>
      <c r="P387"/>
      <c r="Q387"/>
      <c r="R387"/>
    </row>
    <row r="388" spans="5:18">
      <c r="E388" s="244"/>
      <c r="F388" s="244"/>
      <c r="G388" s="244"/>
      <c r="H388" s="244"/>
      <c r="I388"/>
      <c r="J388"/>
      <c r="K388"/>
      <c r="L388" s="245"/>
      <c r="N388" s="245"/>
      <c r="O388"/>
      <c r="P388"/>
      <c r="Q388"/>
      <c r="R388" s="245"/>
    </row>
    <row r="389" spans="5:18">
      <c r="E389" s="244"/>
      <c r="F389" s="244"/>
      <c r="G389" s="244"/>
      <c r="H389" s="244"/>
      <c r="I389"/>
      <c r="J389"/>
      <c r="K389"/>
      <c r="L389"/>
      <c r="N389" s="245"/>
      <c r="O389"/>
      <c r="P389"/>
      <c r="Q389"/>
      <c r="R389"/>
    </row>
    <row r="390" spans="5:18">
      <c r="E390" s="244"/>
      <c r="F390" s="244"/>
      <c r="G390" s="244"/>
      <c r="H390" s="244"/>
      <c r="I390"/>
      <c r="J390"/>
      <c r="K390"/>
      <c r="L390"/>
      <c r="N390" s="245"/>
      <c r="O390"/>
      <c r="P390"/>
      <c r="Q390"/>
      <c r="R390"/>
    </row>
    <row r="391" spans="5:18">
      <c r="E391" s="244"/>
      <c r="F391" s="244"/>
      <c r="G391" s="244"/>
      <c r="H391" s="244"/>
      <c r="I391"/>
      <c r="J391"/>
      <c r="K391"/>
      <c r="L391" s="245"/>
      <c r="N391" s="245"/>
      <c r="O391"/>
      <c r="P391"/>
      <c r="Q391"/>
      <c r="R391" s="245"/>
    </row>
    <row r="392" spans="5:18">
      <c r="E392" s="244"/>
      <c r="F392" s="244"/>
      <c r="G392" s="244"/>
      <c r="H392" s="244"/>
      <c r="I392"/>
      <c r="J392"/>
      <c r="K392"/>
      <c r="L392" s="245"/>
      <c r="N392" s="245"/>
      <c r="O392"/>
      <c r="P392"/>
      <c r="Q392"/>
      <c r="R392" s="245"/>
    </row>
    <row r="393" spans="5:18">
      <c r="E393" s="244"/>
      <c r="F393" s="244"/>
      <c r="G393" s="244"/>
      <c r="H393" s="244"/>
      <c r="I393"/>
      <c r="J393"/>
      <c r="K393"/>
      <c r="L393"/>
      <c r="N393" s="245"/>
      <c r="O393"/>
      <c r="P393"/>
      <c r="Q393"/>
      <c r="R393"/>
    </row>
    <row r="394" spans="5:18">
      <c r="E394" s="244"/>
      <c r="F394" s="244"/>
      <c r="G394" s="244"/>
      <c r="H394" s="244"/>
      <c r="I394"/>
      <c r="J394"/>
      <c r="K394"/>
      <c r="L394"/>
      <c r="N394" s="245"/>
      <c r="O394"/>
      <c r="P394"/>
      <c r="Q394"/>
      <c r="R394"/>
    </row>
    <row r="395" spans="5:18">
      <c r="E395" s="244"/>
      <c r="F395" s="244"/>
      <c r="G395" s="244"/>
      <c r="H395" s="244"/>
      <c r="I395"/>
      <c r="J395"/>
      <c r="K395"/>
      <c r="L395"/>
      <c r="N395" s="245"/>
      <c r="O395"/>
      <c r="P395"/>
      <c r="Q395"/>
      <c r="R395"/>
    </row>
    <row r="396" spans="5:18">
      <c r="E396" s="244"/>
      <c r="F396" s="244"/>
      <c r="G396" s="244"/>
      <c r="H396" s="244"/>
      <c r="I396"/>
      <c r="J396"/>
      <c r="K396"/>
      <c r="L396"/>
      <c r="N396" s="245"/>
      <c r="O396"/>
      <c r="P396"/>
      <c r="Q396"/>
      <c r="R396"/>
    </row>
    <row r="397" spans="5:18">
      <c r="E397" s="244"/>
      <c r="F397" s="244"/>
      <c r="G397" s="244"/>
      <c r="H397" s="244"/>
      <c r="I397"/>
      <c r="J397"/>
      <c r="K397"/>
      <c r="L397"/>
      <c r="N397" s="245"/>
      <c r="O397"/>
      <c r="P397"/>
      <c r="Q397"/>
      <c r="R397"/>
    </row>
    <row r="398" spans="5:18">
      <c r="E398" s="244"/>
      <c r="F398" s="244"/>
      <c r="G398" s="244"/>
      <c r="H398" s="244"/>
      <c r="I398"/>
      <c r="J398"/>
      <c r="K398"/>
      <c r="L398" s="245"/>
      <c r="N398" s="245"/>
      <c r="O398"/>
      <c r="P398"/>
      <c r="Q398"/>
      <c r="R398" s="245"/>
    </row>
    <row r="399" spans="5:18">
      <c r="E399" s="244"/>
      <c r="F399" s="244"/>
      <c r="G399" s="244"/>
      <c r="H399" s="244"/>
      <c r="I399"/>
      <c r="J399"/>
      <c r="K399"/>
      <c r="L399" s="245"/>
      <c r="N399" s="245"/>
      <c r="O399"/>
      <c r="P399"/>
      <c r="Q399"/>
      <c r="R399" s="245"/>
    </row>
    <row r="400" spans="5:18">
      <c r="E400" s="244"/>
      <c r="F400" s="244"/>
      <c r="G400" s="244"/>
      <c r="H400" s="244"/>
      <c r="I400"/>
      <c r="J400"/>
      <c r="K400"/>
      <c r="L400" s="245"/>
      <c r="N400" s="245"/>
      <c r="O400"/>
      <c r="P400"/>
      <c r="Q400"/>
      <c r="R400" s="245"/>
    </row>
    <row r="401" spans="5:18">
      <c r="E401" s="244"/>
      <c r="F401" s="244"/>
      <c r="G401" s="244"/>
      <c r="H401" s="244"/>
      <c r="I401"/>
      <c r="J401"/>
      <c r="K401"/>
      <c r="L401"/>
      <c r="N401" s="245"/>
      <c r="O401"/>
      <c r="P401"/>
      <c r="Q401"/>
      <c r="R401"/>
    </row>
    <row r="402" spans="5:18">
      <c r="E402" s="244"/>
      <c r="F402" s="244"/>
      <c r="G402" s="244"/>
      <c r="H402" s="244"/>
      <c r="I402"/>
      <c r="J402"/>
      <c r="K402"/>
      <c r="L402" s="245"/>
      <c r="N402" s="245"/>
      <c r="O402"/>
      <c r="P402"/>
      <c r="Q402"/>
      <c r="R402" s="245"/>
    </row>
    <row r="403" spans="5:18">
      <c r="E403" s="244"/>
      <c r="F403" s="244"/>
      <c r="G403" s="244"/>
      <c r="H403" s="244"/>
      <c r="I403"/>
      <c r="J403"/>
      <c r="K403"/>
      <c r="L403"/>
      <c r="N403" s="245"/>
      <c r="O403"/>
      <c r="P403"/>
      <c r="Q403"/>
      <c r="R403"/>
    </row>
    <row r="404" spans="5:18">
      <c r="E404" s="244"/>
      <c r="F404" s="244"/>
      <c r="G404" s="244"/>
      <c r="H404" s="244"/>
      <c r="I404"/>
      <c r="J404"/>
      <c r="K404"/>
      <c r="L404" s="245"/>
      <c r="N404" s="245"/>
      <c r="O404"/>
      <c r="P404"/>
      <c r="Q404"/>
      <c r="R404" s="245"/>
    </row>
    <row r="405" spans="5:18">
      <c r="E405" s="244"/>
      <c r="F405" s="244"/>
      <c r="G405" s="244"/>
      <c r="H405" s="244"/>
      <c r="I405"/>
      <c r="J405"/>
      <c r="K405"/>
      <c r="L405" s="245"/>
      <c r="N405" s="245"/>
      <c r="O405"/>
      <c r="P405"/>
      <c r="Q405"/>
      <c r="R405" s="245"/>
    </row>
    <row r="406" spans="5:18">
      <c r="E406" s="244"/>
      <c r="F406" s="244"/>
      <c r="G406" s="244"/>
      <c r="H406" s="244"/>
      <c r="I406"/>
      <c r="J406"/>
      <c r="K406"/>
      <c r="L406" s="245"/>
      <c r="N406" s="245"/>
      <c r="O406"/>
      <c r="P406"/>
      <c r="Q406"/>
      <c r="R406" s="245"/>
    </row>
    <row r="407" spans="5:18">
      <c r="E407" s="244"/>
      <c r="F407" s="244"/>
      <c r="G407" s="244"/>
      <c r="H407" s="244"/>
      <c r="I407"/>
      <c r="J407"/>
      <c r="K407"/>
      <c r="L407" s="245"/>
      <c r="N407" s="245"/>
      <c r="O407"/>
      <c r="P407"/>
      <c r="Q407"/>
      <c r="R407" s="245"/>
    </row>
    <row r="408" spans="5:18">
      <c r="E408" s="244"/>
      <c r="F408" s="244"/>
      <c r="G408" s="244"/>
      <c r="H408" s="244"/>
      <c r="I408"/>
      <c r="J408"/>
      <c r="K408"/>
      <c r="L408" s="245"/>
      <c r="N408" s="245"/>
      <c r="O408"/>
      <c r="P408"/>
      <c r="Q408"/>
      <c r="R408" s="245"/>
    </row>
    <row r="409" spans="5:18">
      <c r="E409" s="244"/>
      <c r="F409" s="244"/>
      <c r="G409" s="244"/>
      <c r="H409" s="244"/>
      <c r="I409"/>
      <c r="J409"/>
      <c r="K409"/>
      <c r="L409"/>
      <c r="N409" s="245"/>
      <c r="O409"/>
      <c r="P409"/>
      <c r="Q409"/>
      <c r="R409"/>
    </row>
    <row r="410" spans="5:18">
      <c r="E410" s="244"/>
      <c r="F410" s="244"/>
      <c r="G410" s="244"/>
      <c r="H410" s="244"/>
      <c r="I410"/>
      <c r="J410"/>
      <c r="K410"/>
      <c r="L410"/>
      <c r="N410" s="245"/>
      <c r="O410"/>
      <c r="P410"/>
      <c r="Q410"/>
      <c r="R410"/>
    </row>
    <row r="411" spans="5:18">
      <c r="E411" s="244"/>
      <c r="F411" s="244"/>
      <c r="G411" s="244"/>
      <c r="H411" s="244"/>
      <c r="I411"/>
      <c r="J411"/>
      <c r="K411"/>
      <c r="L411" s="245"/>
      <c r="N411" s="245"/>
      <c r="O411"/>
      <c r="P411"/>
      <c r="Q411"/>
      <c r="R411" s="245"/>
    </row>
    <row r="412" spans="5:18">
      <c r="E412" s="244"/>
      <c r="F412" s="244"/>
      <c r="G412" s="244"/>
      <c r="H412" s="244"/>
      <c r="I412"/>
      <c r="J412"/>
      <c r="K412"/>
      <c r="L412" s="245"/>
      <c r="N412" s="245"/>
      <c r="O412"/>
      <c r="P412"/>
      <c r="Q412"/>
      <c r="R412" s="245"/>
    </row>
    <row r="413" spans="5:18">
      <c r="E413" s="244"/>
      <c r="F413" s="244"/>
      <c r="G413" s="244"/>
      <c r="H413" s="244"/>
      <c r="I413"/>
      <c r="J413"/>
      <c r="K413"/>
      <c r="L413" s="245"/>
      <c r="N413" s="245"/>
      <c r="O413"/>
      <c r="P413"/>
      <c r="Q413"/>
      <c r="R413" s="245"/>
    </row>
    <row r="414" spans="5:18">
      <c r="E414" s="244"/>
      <c r="F414" s="244"/>
      <c r="G414" s="244"/>
      <c r="H414" s="244"/>
      <c r="I414"/>
      <c r="J414"/>
      <c r="K414"/>
      <c r="L414"/>
      <c r="N414" s="245"/>
      <c r="O414"/>
      <c r="P414"/>
      <c r="Q414"/>
      <c r="R414"/>
    </row>
    <row r="415" spans="5:18">
      <c r="E415" s="244"/>
      <c r="F415" s="244"/>
      <c r="G415" s="244"/>
      <c r="H415" s="244"/>
      <c r="I415"/>
      <c r="J415"/>
      <c r="K415"/>
      <c r="L415" s="245"/>
      <c r="N415" s="245"/>
      <c r="O415"/>
      <c r="P415"/>
      <c r="Q415"/>
      <c r="R415" s="245"/>
    </row>
    <row r="416" spans="5:18">
      <c r="E416" s="244"/>
      <c r="F416" s="244"/>
      <c r="G416" s="244"/>
      <c r="H416" s="244"/>
      <c r="I416"/>
      <c r="J416"/>
      <c r="K416"/>
      <c r="L416"/>
      <c r="N416" s="245"/>
      <c r="O416"/>
      <c r="P416"/>
      <c r="Q416"/>
      <c r="R416"/>
    </row>
    <row r="417" spans="5:18">
      <c r="E417" s="244"/>
      <c r="F417" s="244"/>
      <c r="G417" s="244"/>
      <c r="H417" s="244"/>
      <c r="I417"/>
      <c r="J417"/>
      <c r="K417"/>
      <c r="L417" s="245"/>
      <c r="N417" s="245"/>
      <c r="O417"/>
      <c r="P417"/>
      <c r="Q417"/>
      <c r="R417" s="245"/>
    </row>
    <row r="418" spans="5:18">
      <c r="E418" s="244"/>
      <c r="F418" s="244"/>
      <c r="G418" s="244"/>
      <c r="H418" s="244"/>
      <c r="I418"/>
      <c r="J418"/>
      <c r="K418"/>
      <c r="L418" s="245"/>
      <c r="N418" s="245"/>
      <c r="O418"/>
      <c r="P418"/>
      <c r="Q418"/>
      <c r="R418" s="245"/>
    </row>
    <row r="419" spans="5:18">
      <c r="E419" s="244"/>
      <c r="F419" s="244"/>
      <c r="G419" s="244"/>
      <c r="H419" s="244"/>
      <c r="I419"/>
      <c r="J419"/>
      <c r="K419"/>
      <c r="L419" s="245"/>
      <c r="N419" s="245"/>
      <c r="O419"/>
      <c r="P419"/>
      <c r="Q419"/>
      <c r="R419" s="245"/>
    </row>
    <row r="420" spans="5:18">
      <c r="E420" s="244"/>
      <c r="F420" s="244"/>
      <c r="G420" s="244"/>
      <c r="H420" s="244"/>
      <c r="I420"/>
      <c r="J420"/>
      <c r="K420"/>
      <c r="L420" s="245"/>
      <c r="N420" s="245"/>
      <c r="O420"/>
      <c r="P420"/>
      <c r="Q420"/>
      <c r="R420" s="245"/>
    </row>
    <row r="421" spans="5:18">
      <c r="E421" s="244"/>
      <c r="F421" s="244"/>
      <c r="G421" s="244"/>
      <c r="H421" s="244"/>
      <c r="I421"/>
      <c r="J421"/>
      <c r="K421"/>
      <c r="L421" s="245"/>
      <c r="N421" s="245"/>
      <c r="O421"/>
      <c r="P421"/>
      <c r="Q421"/>
      <c r="R421" s="245"/>
    </row>
    <row r="422" spans="5:18">
      <c r="E422" s="244"/>
      <c r="F422" s="244"/>
      <c r="G422" s="244"/>
      <c r="H422" s="244"/>
      <c r="I422"/>
      <c r="J422"/>
      <c r="K422"/>
      <c r="L422" s="245"/>
      <c r="N422" s="245"/>
      <c r="O422"/>
      <c r="P422"/>
      <c r="Q422"/>
      <c r="R422" s="245"/>
    </row>
    <row r="423" spans="5:18">
      <c r="E423" s="244"/>
      <c r="F423" s="244"/>
      <c r="G423" s="244"/>
      <c r="H423" s="244"/>
      <c r="I423"/>
      <c r="J423"/>
      <c r="K423"/>
      <c r="L423" s="245"/>
      <c r="N423" s="245"/>
      <c r="O423"/>
      <c r="P423"/>
      <c r="Q423"/>
      <c r="R423" s="245"/>
    </row>
    <row r="424" spans="5:18">
      <c r="E424" s="244"/>
      <c r="F424" s="244"/>
      <c r="G424" s="244"/>
      <c r="H424" s="244"/>
      <c r="I424"/>
      <c r="J424"/>
      <c r="K424"/>
      <c r="L424" s="245"/>
      <c r="N424" s="245"/>
      <c r="O424"/>
      <c r="P424"/>
      <c r="Q424"/>
      <c r="R424" s="245"/>
    </row>
    <row r="425" spans="5:18">
      <c r="E425" s="244"/>
      <c r="F425" s="244"/>
      <c r="G425" s="244"/>
      <c r="H425" s="244"/>
      <c r="I425"/>
      <c r="J425"/>
      <c r="K425"/>
      <c r="L425" s="245"/>
      <c r="N425" s="245"/>
      <c r="O425"/>
      <c r="P425"/>
      <c r="Q425"/>
      <c r="R425" s="245"/>
    </row>
    <row r="426" spans="5:18">
      <c r="E426" s="244"/>
      <c r="F426" s="244"/>
      <c r="G426" s="244"/>
      <c r="H426" s="244"/>
      <c r="I426"/>
      <c r="J426"/>
      <c r="K426"/>
      <c r="L426" s="245"/>
      <c r="N426" s="245"/>
      <c r="O426"/>
      <c r="P426"/>
      <c r="Q426"/>
      <c r="R426" s="245"/>
    </row>
    <row r="427" spans="5:18">
      <c r="E427" s="244"/>
      <c r="F427" s="244"/>
      <c r="G427" s="244"/>
      <c r="H427" s="244"/>
      <c r="I427"/>
      <c r="J427"/>
      <c r="K427"/>
      <c r="L427" s="245"/>
      <c r="N427" s="245"/>
      <c r="O427"/>
      <c r="P427"/>
      <c r="Q427"/>
      <c r="R427" s="245"/>
    </row>
    <row r="428" spans="5:18">
      <c r="E428" s="244"/>
      <c r="F428" s="244"/>
      <c r="G428" s="244"/>
      <c r="H428" s="244"/>
      <c r="I428"/>
      <c r="J428"/>
      <c r="K428"/>
      <c r="L428" s="245"/>
      <c r="N428" s="245"/>
      <c r="O428"/>
      <c r="P428"/>
      <c r="Q428"/>
      <c r="R428" s="245"/>
    </row>
    <row r="429" spans="5:18">
      <c r="E429" s="244"/>
      <c r="F429" s="244"/>
      <c r="G429" s="244"/>
      <c r="H429" s="244"/>
      <c r="I429"/>
      <c r="J429"/>
      <c r="K429"/>
      <c r="L429" s="245"/>
      <c r="N429" s="245"/>
      <c r="O429"/>
      <c r="P429"/>
      <c r="Q429"/>
      <c r="R429" s="245"/>
    </row>
    <row r="430" spans="5:18">
      <c r="E430" s="244"/>
      <c r="F430" s="244"/>
      <c r="G430" s="244"/>
      <c r="H430" s="244"/>
      <c r="I430"/>
      <c r="J430"/>
      <c r="K430"/>
      <c r="L430" s="245"/>
      <c r="N430" s="245"/>
      <c r="O430"/>
      <c r="P430"/>
      <c r="Q430"/>
      <c r="R430" s="245"/>
    </row>
    <row r="431" spans="5:18">
      <c r="E431" s="244"/>
      <c r="F431" s="244"/>
      <c r="G431" s="244"/>
      <c r="H431" s="244"/>
      <c r="I431"/>
      <c r="J431"/>
      <c r="K431"/>
      <c r="L431"/>
      <c r="N431" s="245"/>
      <c r="O431"/>
      <c r="P431"/>
      <c r="Q431"/>
      <c r="R431"/>
    </row>
    <row r="432" spans="5:18">
      <c r="E432" s="244"/>
      <c r="F432" s="244"/>
      <c r="G432" s="244"/>
      <c r="H432" s="244"/>
      <c r="I432"/>
      <c r="J432"/>
      <c r="K432"/>
      <c r="L432" s="245"/>
      <c r="N432" s="245"/>
      <c r="O432"/>
      <c r="P432"/>
      <c r="Q432"/>
      <c r="R432" s="245"/>
    </row>
    <row r="433" spans="5:18">
      <c r="E433" s="244"/>
      <c r="F433" s="244"/>
      <c r="G433" s="244"/>
      <c r="H433" s="244"/>
      <c r="I433"/>
      <c r="J433"/>
      <c r="K433"/>
      <c r="L433" s="245"/>
      <c r="N433" s="245"/>
      <c r="O433"/>
      <c r="P433"/>
      <c r="Q433"/>
      <c r="R433" s="245"/>
    </row>
    <row r="434" spans="5:18">
      <c r="E434" s="244"/>
      <c r="F434" s="244"/>
      <c r="G434" s="244"/>
      <c r="H434" s="244"/>
      <c r="I434"/>
      <c r="J434"/>
      <c r="K434"/>
      <c r="L434" s="245"/>
      <c r="N434" s="245"/>
      <c r="O434"/>
      <c r="P434"/>
      <c r="Q434"/>
      <c r="R434" s="245"/>
    </row>
    <row r="435" spans="5:18">
      <c r="E435" s="244"/>
      <c r="F435" s="244"/>
      <c r="G435" s="244"/>
      <c r="H435" s="244"/>
      <c r="I435"/>
      <c r="J435"/>
      <c r="K435"/>
      <c r="L435" s="245"/>
      <c r="N435" s="245"/>
      <c r="O435"/>
      <c r="P435"/>
      <c r="Q435"/>
      <c r="R435" s="245"/>
    </row>
    <row r="436" spans="5:18">
      <c r="E436" s="244"/>
      <c r="F436" s="244"/>
      <c r="G436" s="244"/>
      <c r="H436" s="244"/>
      <c r="I436"/>
      <c r="J436"/>
      <c r="K436"/>
      <c r="L436"/>
      <c r="N436" s="245"/>
      <c r="O436"/>
      <c r="P436"/>
      <c r="Q436"/>
      <c r="R436"/>
    </row>
    <row r="437" spans="5:18">
      <c r="E437" s="244"/>
      <c r="F437" s="244"/>
      <c r="G437" s="244"/>
      <c r="H437" s="244"/>
      <c r="I437"/>
      <c r="J437"/>
      <c r="K437"/>
      <c r="L437"/>
      <c r="N437" s="245"/>
      <c r="O437"/>
      <c r="P437"/>
      <c r="Q437"/>
      <c r="R437"/>
    </row>
    <row r="438" spans="5:18">
      <c r="E438" s="244"/>
      <c r="F438" s="244"/>
      <c r="G438" s="244"/>
      <c r="H438" s="244"/>
      <c r="I438"/>
      <c r="J438"/>
      <c r="K438"/>
      <c r="L438"/>
      <c r="N438" s="245"/>
      <c r="O438"/>
      <c r="P438"/>
      <c r="Q438"/>
      <c r="R438"/>
    </row>
    <row r="439" spans="5:18">
      <c r="E439" s="244"/>
      <c r="F439" s="244"/>
      <c r="G439" s="244"/>
      <c r="H439" s="244"/>
      <c r="I439"/>
      <c r="J439"/>
      <c r="K439"/>
      <c r="L439"/>
      <c r="N439" s="245"/>
      <c r="O439"/>
      <c r="P439"/>
      <c r="Q439"/>
      <c r="R439"/>
    </row>
    <row r="440" spans="5:18">
      <c r="E440" s="244"/>
      <c r="F440" s="244"/>
      <c r="G440" s="244"/>
      <c r="H440" s="244"/>
      <c r="I440"/>
      <c r="J440"/>
      <c r="K440"/>
      <c r="L440" s="245"/>
      <c r="N440" s="245"/>
      <c r="O440"/>
      <c r="P440"/>
      <c r="Q440"/>
      <c r="R440" s="245"/>
    </row>
    <row r="441" spans="5:18">
      <c r="E441" s="244"/>
      <c r="F441" s="244"/>
      <c r="G441" s="244"/>
      <c r="H441" s="244"/>
      <c r="I441"/>
      <c r="J441"/>
      <c r="K441"/>
      <c r="L441" s="245"/>
      <c r="N441" s="245"/>
      <c r="O441"/>
      <c r="P441"/>
      <c r="Q441"/>
      <c r="R441" s="245"/>
    </row>
    <row r="442" spans="5:18">
      <c r="E442" s="244"/>
      <c r="F442" s="244"/>
      <c r="G442" s="244"/>
      <c r="H442" s="244"/>
      <c r="I442"/>
      <c r="J442"/>
      <c r="K442"/>
      <c r="L442"/>
      <c r="N442" s="245"/>
      <c r="O442"/>
      <c r="P442"/>
      <c r="Q442"/>
      <c r="R442"/>
    </row>
    <row r="443" spans="5:18">
      <c r="E443" s="244"/>
      <c r="F443" s="244"/>
      <c r="G443" s="244"/>
      <c r="H443" s="244"/>
      <c r="I443"/>
      <c r="J443"/>
      <c r="K443"/>
      <c r="L443" s="245"/>
      <c r="N443" s="245"/>
      <c r="O443"/>
      <c r="P443"/>
      <c r="Q443"/>
      <c r="R443" s="245"/>
    </row>
    <row r="444" spans="5:18">
      <c r="E444" s="244"/>
      <c r="F444" s="244"/>
      <c r="G444" s="244"/>
      <c r="H444" s="244"/>
      <c r="I444"/>
      <c r="J444"/>
      <c r="K444"/>
      <c r="L444" s="245"/>
      <c r="N444" s="245"/>
      <c r="O444"/>
      <c r="P444"/>
      <c r="Q444"/>
      <c r="R444" s="245"/>
    </row>
    <row r="445" spans="5:18">
      <c r="E445" s="244"/>
      <c r="F445" s="244"/>
      <c r="G445" s="244"/>
      <c r="H445" s="244"/>
      <c r="I445"/>
      <c r="J445"/>
      <c r="K445"/>
      <c r="L445" s="245"/>
      <c r="N445" s="245"/>
      <c r="O445"/>
      <c r="P445"/>
      <c r="Q445"/>
      <c r="R445" s="245"/>
    </row>
    <row r="446" spans="5:18">
      <c r="E446" s="244"/>
      <c r="F446" s="244"/>
      <c r="G446" s="244"/>
      <c r="H446" s="244"/>
      <c r="I446"/>
      <c r="J446"/>
      <c r="K446"/>
      <c r="L446" s="245"/>
      <c r="N446" s="245"/>
      <c r="O446"/>
      <c r="P446"/>
      <c r="Q446"/>
      <c r="R446" s="245"/>
    </row>
    <row r="447" spans="5:18">
      <c r="E447" s="244"/>
      <c r="F447" s="244"/>
      <c r="G447" s="244"/>
      <c r="H447" s="244"/>
      <c r="I447"/>
      <c r="J447"/>
      <c r="K447"/>
      <c r="L447" s="245"/>
      <c r="N447" s="245"/>
      <c r="O447"/>
      <c r="P447"/>
      <c r="Q447"/>
      <c r="R447" s="245"/>
    </row>
    <row r="448" spans="5:18">
      <c r="E448" s="244"/>
      <c r="F448" s="244"/>
      <c r="G448" s="244"/>
      <c r="H448" s="244"/>
      <c r="I448"/>
      <c r="J448"/>
      <c r="K448"/>
      <c r="L448"/>
      <c r="N448" s="245"/>
      <c r="O448"/>
      <c r="P448"/>
      <c r="Q448"/>
      <c r="R448"/>
    </row>
    <row r="449" spans="5:18">
      <c r="E449" s="244"/>
      <c r="F449" s="244"/>
      <c r="G449" s="244"/>
      <c r="H449" s="244"/>
      <c r="I449"/>
      <c r="J449"/>
      <c r="K449"/>
      <c r="L449" s="245"/>
      <c r="N449" s="245"/>
      <c r="O449"/>
      <c r="P449"/>
      <c r="Q449"/>
      <c r="R449" s="245"/>
    </row>
    <row r="450" spans="5:18">
      <c r="E450" s="244"/>
      <c r="F450" s="244"/>
      <c r="G450" s="244"/>
      <c r="H450" s="244"/>
      <c r="I450"/>
      <c r="J450"/>
      <c r="K450"/>
      <c r="L450" s="245"/>
      <c r="N450" s="245"/>
      <c r="O450"/>
      <c r="P450"/>
      <c r="Q450"/>
      <c r="R450" s="245"/>
    </row>
    <row r="451" spans="5:18">
      <c r="E451" s="244"/>
      <c r="F451" s="244"/>
      <c r="G451" s="244"/>
      <c r="H451" s="244"/>
      <c r="I451"/>
      <c r="J451"/>
      <c r="K451"/>
      <c r="L451" s="245"/>
      <c r="N451" s="245"/>
      <c r="O451"/>
      <c r="P451"/>
      <c r="Q451"/>
      <c r="R451" s="245"/>
    </row>
    <row r="452" spans="5:18">
      <c r="E452" s="244"/>
      <c r="F452" s="244"/>
      <c r="G452" s="244"/>
      <c r="H452" s="244"/>
      <c r="I452"/>
      <c r="J452"/>
      <c r="K452"/>
      <c r="L452"/>
      <c r="N452" s="245"/>
      <c r="O452"/>
      <c r="P452"/>
      <c r="Q452"/>
      <c r="R452"/>
    </row>
    <row r="453" spans="5:18">
      <c r="E453" s="244"/>
      <c r="F453" s="244"/>
      <c r="G453" s="244"/>
      <c r="H453" s="244"/>
      <c r="I453"/>
      <c r="J453"/>
      <c r="K453"/>
      <c r="L453" s="245"/>
      <c r="N453" s="245"/>
      <c r="O453"/>
      <c r="P453"/>
      <c r="Q453"/>
      <c r="R453" s="245"/>
    </row>
    <row r="454" spans="5:18">
      <c r="E454" s="244"/>
      <c r="F454" s="244"/>
      <c r="G454" s="244"/>
      <c r="H454" s="244"/>
      <c r="I454"/>
      <c r="J454"/>
      <c r="K454"/>
      <c r="L454" s="245"/>
      <c r="N454" s="245"/>
      <c r="O454"/>
      <c r="P454"/>
      <c r="Q454"/>
      <c r="R454" s="245"/>
    </row>
    <row r="455" spans="5:18">
      <c r="E455" s="244"/>
      <c r="F455" s="244"/>
      <c r="G455" s="244"/>
      <c r="H455" s="244"/>
      <c r="I455"/>
      <c r="J455"/>
      <c r="K455"/>
      <c r="L455" s="245"/>
      <c r="N455" s="245"/>
      <c r="O455"/>
      <c r="P455"/>
      <c r="Q455"/>
      <c r="R455" s="245"/>
    </row>
    <row r="456" spans="5:18">
      <c r="E456" s="244"/>
      <c r="F456" s="244"/>
      <c r="G456" s="244"/>
      <c r="H456" s="244"/>
      <c r="I456"/>
      <c r="J456"/>
      <c r="K456"/>
      <c r="L456"/>
      <c r="N456" s="245"/>
      <c r="O456"/>
      <c r="P456"/>
      <c r="Q456"/>
      <c r="R456"/>
    </row>
    <row r="457" spans="5:18">
      <c r="E457" s="244"/>
      <c r="F457" s="244"/>
      <c r="G457" s="244"/>
      <c r="H457" s="244"/>
      <c r="I457"/>
      <c r="J457"/>
      <c r="K457"/>
      <c r="L457"/>
      <c r="N457" s="245"/>
      <c r="O457"/>
      <c r="P457"/>
      <c r="Q457"/>
      <c r="R457"/>
    </row>
    <row r="458" spans="5:18">
      <c r="E458" s="244"/>
      <c r="F458" s="244"/>
      <c r="G458" s="244"/>
      <c r="H458" s="244"/>
      <c r="I458"/>
      <c r="J458"/>
      <c r="K458"/>
      <c r="L458" s="245"/>
      <c r="N458" s="245"/>
      <c r="O458"/>
      <c r="P458"/>
      <c r="Q458"/>
      <c r="R458" s="245"/>
    </row>
    <row r="459" spans="5:18">
      <c r="E459" s="244"/>
      <c r="F459" s="244"/>
      <c r="G459" s="244"/>
      <c r="H459" s="244"/>
      <c r="I459"/>
      <c r="J459"/>
      <c r="K459"/>
      <c r="L459" s="245"/>
      <c r="N459" s="245"/>
      <c r="O459"/>
      <c r="P459"/>
      <c r="Q459"/>
      <c r="R459" s="245"/>
    </row>
    <row r="460" spans="5:18">
      <c r="E460" s="244"/>
      <c r="F460" s="244"/>
      <c r="G460" s="244"/>
      <c r="H460" s="244"/>
      <c r="I460"/>
      <c r="J460"/>
      <c r="K460"/>
      <c r="L460" s="245"/>
      <c r="N460" s="245"/>
      <c r="O460"/>
      <c r="P460"/>
      <c r="Q460"/>
      <c r="R460" s="245"/>
    </row>
    <row r="461" spans="5:18">
      <c r="E461" s="244"/>
      <c r="F461" s="244"/>
      <c r="G461" s="244"/>
      <c r="H461" s="244"/>
      <c r="I461"/>
      <c r="J461"/>
      <c r="K461"/>
      <c r="L461" s="245"/>
      <c r="N461" s="245"/>
      <c r="O461"/>
      <c r="P461"/>
      <c r="Q461"/>
      <c r="R461" s="245"/>
    </row>
    <row r="462" spans="5:18">
      <c r="E462" s="244"/>
      <c r="F462" s="244"/>
      <c r="G462" s="244"/>
      <c r="H462" s="244"/>
      <c r="I462"/>
      <c r="J462"/>
      <c r="K462"/>
      <c r="L462" s="245"/>
      <c r="N462" s="245"/>
      <c r="O462"/>
      <c r="P462"/>
      <c r="Q462"/>
      <c r="R462" s="245"/>
    </row>
    <row r="463" spans="5:18">
      <c r="E463" s="244"/>
      <c r="F463" s="244"/>
      <c r="G463" s="244"/>
      <c r="H463" s="244"/>
      <c r="I463"/>
      <c r="J463"/>
      <c r="K463"/>
      <c r="L463"/>
      <c r="N463" s="245"/>
      <c r="O463"/>
      <c r="P463"/>
      <c r="Q463"/>
      <c r="R463"/>
    </row>
    <row r="464" spans="5:18">
      <c r="E464" s="244"/>
      <c r="F464" s="244"/>
      <c r="G464" s="244"/>
      <c r="H464" s="244"/>
      <c r="I464"/>
      <c r="J464"/>
      <c r="K464"/>
      <c r="L464" s="245"/>
      <c r="N464" s="245"/>
      <c r="O464"/>
      <c r="P464"/>
      <c r="Q464"/>
      <c r="R464" s="245"/>
    </row>
    <row r="465" spans="5:18">
      <c r="E465" s="244"/>
      <c r="F465" s="244"/>
      <c r="G465" s="244"/>
      <c r="H465" s="244"/>
      <c r="I465"/>
      <c r="J465"/>
      <c r="K465"/>
      <c r="L465"/>
      <c r="N465" s="245"/>
      <c r="O465"/>
      <c r="P465"/>
      <c r="Q465"/>
      <c r="R465"/>
    </row>
    <row r="466" spans="5:18">
      <c r="E466" s="244"/>
      <c r="F466" s="244"/>
      <c r="G466" s="244"/>
      <c r="H466" s="244"/>
      <c r="I466"/>
      <c r="J466"/>
      <c r="K466"/>
      <c r="L466" s="245"/>
      <c r="N466" s="245"/>
      <c r="O466"/>
      <c r="P466"/>
      <c r="Q466"/>
      <c r="R466" s="245"/>
    </row>
    <row r="467" spans="5:18">
      <c r="E467" s="244"/>
      <c r="F467" s="244"/>
      <c r="G467" s="244"/>
      <c r="H467" s="244"/>
      <c r="I467"/>
      <c r="J467"/>
      <c r="K467"/>
      <c r="L467" s="245"/>
      <c r="N467" s="245"/>
      <c r="O467"/>
      <c r="P467"/>
      <c r="Q467"/>
      <c r="R467" s="245"/>
    </row>
    <row r="468" spans="5:18">
      <c r="E468" s="244"/>
      <c r="F468" s="244"/>
      <c r="G468" s="244"/>
      <c r="H468" s="244"/>
      <c r="I468"/>
      <c r="J468"/>
      <c r="K468"/>
      <c r="L468" s="245"/>
      <c r="N468" s="245"/>
      <c r="O468"/>
      <c r="P468"/>
      <c r="Q468"/>
      <c r="R468" s="245"/>
    </row>
    <row r="469" spans="5:18">
      <c r="E469" s="244"/>
      <c r="F469" s="244"/>
      <c r="G469" s="244"/>
      <c r="H469" s="244"/>
      <c r="I469"/>
      <c r="J469"/>
      <c r="K469"/>
      <c r="L469" s="245"/>
      <c r="N469" s="245"/>
      <c r="O469"/>
      <c r="P469"/>
      <c r="Q469"/>
      <c r="R469" s="245"/>
    </row>
    <row r="470" spans="5:18">
      <c r="E470" s="244"/>
      <c r="F470" s="244"/>
      <c r="G470" s="244"/>
      <c r="H470" s="244"/>
      <c r="I470"/>
      <c r="J470"/>
      <c r="K470"/>
      <c r="L470" s="245"/>
      <c r="N470" s="245"/>
      <c r="O470"/>
      <c r="P470"/>
      <c r="Q470"/>
      <c r="R470" s="245"/>
    </row>
    <row r="471" spans="5:18">
      <c r="E471" s="244"/>
      <c r="F471" s="244"/>
      <c r="G471" s="244"/>
      <c r="H471" s="244"/>
      <c r="I471"/>
      <c r="J471"/>
      <c r="K471"/>
      <c r="L471" s="245"/>
      <c r="N471" s="245"/>
      <c r="O471"/>
      <c r="P471"/>
      <c r="Q471"/>
      <c r="R471" s="245"/>
    </row>
    <row r="472" spans="5:18">
      <c r="E472" s="244"/>
      <c r="F472" s="244"/>
      <c r="G472" s="244"/>
      <c r="H472" s="244"/>
      <c r="I472"/>
      <c r="J472"/>
      <c r="K472"/>
      <c r="L472"/>
      <c r="N472" s="245"/>
      <c r="O472"/>
      <c r="P472"/>
      <c r="Q472"/>
      <c r="R472"/>
    </row>
    <row r="473" spans="5:18">
      <c r="E473" s="244"/>
      <c r="F473" s="244"/>
      <c r="G473" s="244"/>
      <c r="H473" s="244"/>
      <c r="I473"/>
      <c r="J473"/>
      <c r="K473"/>
      <c r="L473" s="245"/>
      <c r="N473" s="245"/>
      <c r="O473"/>
      <c r="P473"/>
      <c r="Q473"/>
      <c r="R473" s="245"/>
    </row>
    <row r="474" spans="5:18">
      <c r="E474" s="244"/>
      <c r="F474" s="244"/>
      <c r="G474" s="244"/>
      <c r="H474" s="244"/>
      <c r="I474"/>
      <c r="J474"/>
      <c r="K474"/>
      <c r="L474" s="245"/>
      <c r="N474" s="245"/>
      <c r="O474"/>
      <c r="P474"/>
      <c r="Q474"/>
      <c r="R474" s="245"/>
    </row>
    <row r="475" spans="5:18">
      <c r="E475" s="244"/>
      <c r="F475" s="244"/>
      <c r="G475" s="244"/>
      <c r="H475" s="244"/>
      <c r="I475"/>
      <c r="J475"/>
      <c r="K475"/>
      <c r="L475" s="245"/>
      <c r="N475" s="245"/>
      <c r="O475"/>
      <c r="P475"/>
      <c r="Q475"/>
      <c r="R475" s="245"/>
    </row>
    <row r="476" spans="5:18">
      <c r="E476" s="244"/>
      <c r="F476" s="244"/>
      <c r="G476" s="244"/>
      <c r="H476" s="244"/>
      <c r="I476"/>
      <c r="J476"/>
      <c r="K476"/>
      <c r="L476" s="245"/>
      <c r="N476" s="245"/>
      <c r="O476"/>
      <c r="P476"/>
      <c r="Q476"/>
      <c r="R476" s="245"/>
    </row>
    <row r="477" spans="5:18">
      <c r="E477" s="244"/>
      <c r="F477" s="244"/>
      <c r="G477" s="244"/>
      <c r="H477" s="244"/>
      <c r="I477"/>
      <c r="J477"/>
      <c r="K477"/>
      <c r="L477" s="245"/>
      <c r="N477" s="245"/>
      <c r="O477"/>
      <c r="P477"/>
      <c r="Q477"/>
      <c r="R477" s="245"/>
    </row>
    <row r="478" spans="5:18">
      <c r="E478" s="244"/>
      <c r="F478" s="244"/>
      <c r="G478" s="244"/>
      <c r="H478" s="244"/>
      <c r="I478"/>
      <c r="J478"/>
      <c r="K478"/>
      <c r="L478"/>
      <c r="N478" s="245"/>
      <c r="O478"/>
      <c r="P478"/>
      <c r="Q478"/>
      <c r="R478"/>
    </row>
    <row r="479" spans="5:18">
      <c r="E479" s="244"/>
      <c r="F479" s="244"/>
      <c r="G479" s="244"/>
      <c r="H479" s="244"/>
      <c r="I479"/>
      <c r="J479"/>
      <c r="K479"/>
      <c r="L479" s="245"/>
      <c r="N479" s="245"/>
      <c r="O479"/>
      <c r="P479"/>
      <c r="Q479"/>
      <c r="R479" s="245"/>
    </row>
    <row r="480" spans="5:18">
      <c r="E480" s="244"/>
      <c r="F480" s="244"/>
      <c r="G480" s="244"/>
      <c r="H480" s="244"/>
      <c r="I480"/>
      <c r="J480"/>
      <c r="K480"/>
      <c r="L480" s="245"/>
      <c r="N480" s="245"/>
      <c r="O480"/>
      <c r="P480"/>
      <c r="Q480"/>
      <c r="R480" s="245"/>
    </row>
    <row r="481" spans="5:18">
      <c r="E481" s="244"/>
      <c r="F481" s="244"/>
      <c r="G481" s="244"/>
      <c r="H481" s="244"/>
      <c r="I481"/>
      <c r="J481"/>
      <c r="K481"/>
      <c r="L481" s="245"/>
      <c r="N481" s="245"/>
      <c r="O481"/>
      <c r="P481"/>
      <c r="Q481"/>
      <c r="R481" s="245"/>
    </row>
    <row r="482" spans="5:18">
      <c r="E482" s="244"/>
      <c r="F482" s="244"/>
      <c r="G482" s="244"/>
      <c r="H482" s="244"/>
      <c r="I482"/>
      <c r="J482"/>
      <c r="K482"/>
      <c r="L482" s="245"/>
      <c r="N482" s="245"/>
      <c r="O482"/>
      <c r="P482"/>
      <c r="Q482"/>
      <c r="R482" s="245"/>
    </row>
    <row r="483" spans="5:18">
      <c r="E483" s="244"/>
      <c r="F483" s="244"/>
      <c r="G483" s="244"/>
      <c r="H483" s="244"/>
      <c r="I483"/>
      <c r="J483"/>
      <c r="K483"/>
      <c r="L483" s="245"/>
      <c r="N483" s="245"/>
      <c r="O483"/>
      <c r="P483"/>
      <c r="Q483"/>
      <c r="R483" s="245"/>
    </row>
    <row r="484" spans="5:18">
      <c r="E484" s="244"/>
      <c r="F484" s="244"/>
      <c r="G484" s="244"/>
      <c r="H484" s="244"/>
      <c r="I484"/>
      <c r="J484"/>
      <c r="K484"/>
      <c r="L484" s="245"/>
      <c r="N484" s="245"/>
      <c r="O484"/>
      <c r="P484"/>
      <c r="Q484"/>
      <c r="R484" s="245"/>
    </row>
    <row r="485" spans="5:18">
      <c r="E485" s="244"/>
      <c r="F485" s="244"/>
      <c r="G485" s="244"/>
      <c r="H485" s="244"/>
      <c r="I485"/>
      <c r="J485"/>
      <c r="K485"/>
      <c r="L485"/>
      <c r="N485" s="245"/>
      <c r="O485"/>
      <c r="P485"/>
      <c r="Q485"/>
      <c r="R485"/>
    </row>
    <row r="486" spans="5:18">
      <c r="E486" s="244"/>
      <c r="F486" s="244"/>
      <c r="G486" s="244"/>
      <c r="H486" s="244"/>
      <c r="I486"/>
      <c r="J486"/>
      <c r="K486"/>
      <c r="L486" s="245"/>
      <c r="N486" s="245"/>
      <c r="O486"/>
      <c r="P486"/>
      <c r="Q486"/>
      <c r="R486" s="245"/>
    </row>
    <row r="487" spans="5:18">
      <c r="E487" s="244"/>
      <c r="F487" s="244"/>
      <c r="G487" s="244"/>
      <c r="H487" s="244"/>
      <c r="I487"/>
      <c r="J487"/>
      <c r="K487"/>
      <c r="L487" s="245"/>
      <c r="N487" s="245"/>
      <c r="O487"/>
      <c r="P487"/>
      <c r="Q487"/>
      <c r="R487" s="245"/>
    </row>
    <row r="488" spans="5:18">
      <c r="E488" s="244"/>
      <c r="F488" s="244"/>
      <c r="G488" s="244"/>
      <c r="H488" s="244"/>
      <c r="I488"/>
      <c r="J488"/>
      <c r="K488"/>
      <c r="L488" s="245"/>
      <c r="N488" s="245"/>
      <c r="O488"/>
      <c r="P488"/>
      <c r="Q488"/>
      <c r="R488" s="245"/>
    </row>
    <row r="489" spans="5:18">
      <c r="E489" s="244"/>
      <c r="F489" s="244"/>
      <c r="G489" s="244"/>
      <c r="H489" s="244"/>
      <c r="I489"/>
      <c r="J489"/>
      <c r="K489"/>
      <c r="L489"/>
      <c r="N489" s="245"/>
      <c r="O489"/>
      <c r="P489"/>
      <c r="Q489"/>
      <c r="R489"/>
    </row>
    <row r="490" spans="5:18">
      <c r="E490" s="244"/>
      <c r="F490" s="244"/>
      <c r="G490" s="244"/>
      <c r="H490" s="244"/>
      <c r="I490"/>
      <c r="J490"/>
      <c r="K490"/>
      <c r="L490" s="245"/>
      <c r="N490" s="245"/>
      <c r="O490"/>
      <c r="P490"/>
      <c r="Q490"/>
      <c r="R490" s="245"/>
    </row>
    <row r="491" spans="5:18">
      <c r="E491" s="244"/>
      <c r="F491" s="244"/>
      <c r="G491" s="244"/>
      <c r="H491" s="244"/>
      <c r="I491"/>
      <c r="J491"/>
      <c r="K491"/>
      <c r="L491" s="245"/>
      <c r="N491" s="245"/>
      <c r="O491"/>
      <c r="P491"/>
      <c r="Q491"/>
      <c r="R491" s="245"/>
    </row>
    <row r="492" spans="5:18">
      <c r="E492" s="244"/>
      <c r="F492" s="244"/>
      <c r="G492" s="244"/>
      <c r="H492" s="244"/>
      <c r="I492"/>
      <c r="J492"/>
      <c r="K492"/>
      <c r="L492" s="245"/>
      <c r="N492" s="245"/>
      <c r="O492"/>
      <c r="P492"/>
      <c r="Q492"/>
      <c r="R492" s="245"/>
    </row>
    <row r="493" spans="5:18">
      <c r="E493" s="244"/>
      <c r="F493" s="244"/>
      <c r="G493" s="244"/>
      <c r="H493" s="244"/>
      <c r="I493"/>
      <c r="J493"/>
      <c r="K493"/>
      <c r="L493" s="245"/>
      <c r="N493" s="245"/>
      <c r="O493"/>
      <c r="P493"/>
      <c r="Q493"/>
      <c r="R493" s="245"/>
    </row>
    <row r="494" spans="5:18">
      <c r="E494" s="244"/>
      <c r="F494" s="244"/>
      <c r="G494" s="244"/>
      <c r="H494" s="244"/>
      <c r="I494"/>
      <c r="J494"/>
      <c r="K494"/>
      <c r="L494" s="245"/>
      <c r="N494" s="245"/>
      <c r="O494"/>
      <c r="P494"/>
      <c r="Q494"/>
      <c r="R494" s="245"/>
    </row>
    <row r="495" spans="5:18">
      <c r="E495" s="244"/>
      <c r="F495" s="244"/>
      <c r="G495" s="244"/>
      <c r="H495" s="244"/>
      <c r="I495"/>
      <c r="J495"/>
      <c r="K495"/>
      <c r="L495" s="245"/>
      <c r="N495" s="245"/>
      <c r="O495"/>
      <c r="P495"/>
      <c r="Q495"/>
      <c r="R495" s="245"/>
    </row>
    <row r="496" spans="5:18">
      <c r="E496" s="244"/>
      <c r="F496" s="244"/>
      <c r="G496" s="244"/>
      <c r="H496" s="244"/>
      <c r="I496"/>
      <c r="J496"/>
      <c r="K496"/>
      <c r="L496" s="245"/>
      <c r="N496" s="245"/>
      <c r="O496"/>
      <c r="P496"/>
      <c r="Q496"/>
      <c r="R496" s="245"/>
    </row>
    <row r="497" spans="5:18">
      <c r="E497" s="244"/>
      <c r="F497" s="244"/>
      <c r="G497" s="244"/>
      <c r="H497" s="244"/>
      <c r="I497"/>
      <c r="J497"/>
      <c r="K497"/>
      <c r="L497"/>
      <c r="N497" s="245"/>
      <c r="O497"/>
      <c r="P497"/>
      <c r="Q497"/>
      <c r="R497"/>
    </row>
    <row r="498" spans="5:18">
      <c r="E498" s="244"/>
      <c r="F498" s="244"/>
      <c r="G498" s="244"/>
      <c r="H498" s="244"/>
      <c r="I498"/>
      <c r="J498"/>
      <c r="K498"/>
      <c r="L498" s="245"/>
      <c r="N498" s="245"/>
      <c r="O498"/>
      <c r="P498"/>
      <c r="Q498"/>
      <c r="R498" s="245"/>
    </row>
    <row r="499" spans="5:18">
      <c r="E499" s="244"/>
      <c r="F499" s="244"/>
      <c r="G499" s="244"/>
      <c r="H499" s="244"/>
      <c r="I499"/>
      <c r="J499"/>
      <c r="K499"/>
      <c r="L499" s="245"/>
      <c r="N499" s="245"/>
      <c r="O499"/>
      <c r="P499"/>
      <c r="Q499"/>
      <c r="R499" s="245"/>
    </row>
    <row r="500" spans="5:18">
      <c r="E500" s="244"/>
      <c r="F500" s="244"/>
      <c r="G500" s="244"/>
      <c r="H500" s="244"/>
      <c r="I500"/>
      <c r="J500"/>
      <c r="K500"/>
      <c r="L500"/>
      <c r="N500" s="245"/>
      <c r="O500"/>
      <c r="P500"/>
      <c r="Q500"/>
      <c r="R500"/>
    </row>
    <row r="501" spans="5:18">
      <c r="E501" s="244"/>
      <c r="F501" s="244"/>
      <c r="G501" s="244"/>
      <c r="H501" s="244"/>
      <c r="I501"/>
      <c r="J501"/>
      <c r="K501"/>
      <c r="L501" s="245"/>
      <c r="N501" s="245"/>
      <c r="O501"/>
      <c r="P501"/>
      <c r="Q501"/>
      <c r="R501" s="245"/>
    </row>
    <row r="502" spans="5:18">
      <c r="E502" s="244"/>
      <c r="F502" s="244"/>
      <c r="G502" s="244"/>
      <c r="H502" s="244"/>
      <c r="I502"/>
      <c r="J502"/>
      <c r="K502"/>
      <c r="L502" s="245"/>
      <c r="N502" s="245"/>
      <c r="O502"/>
      <c r="P502"/>
      <c r="Q502"/>
      <c r="R502" s="245"/>
    </row>
    <row r="503" spans="5:18">
      <c r="E503" s="244"/>
      <c r="F503" s="244"/>
      <c r="G503" s="244"/>
      <c r="H503" s="244"/>
      <c r="I503"/>
      <c r="J503"/>
      <c r="K503"/>
      <c r="L503" s="245"/>
      <c r="N503" s="245"/>
      <c r="O503"/>
      <c r="P503"/>
      <c r="Q503"/>
      <c r="R503" s="245"/>
    </row>
    <row r="504" spans="5:18">
      <c r="E504" s="244"/>
      <c r="F504" s="244"/>
      <c r="G504" s="244"/>
      <c r="H504" s="244"/>
      <c r="I504"/>
      <c r="J504"/>
      <c r="K504"/>
      <c r="L504" s="245"/>
      <c r="N504" s="245"/>
      <c r="O504"/>
      <c r="P504"/>
      <c r="Q504"/>
      <c r="R504" s="245"/>
    </row>
    <row r="505" spans="5:18">
      <c r="E505" s="244"/>
      <c r="F505" s="244"/>
      <c r="G505" s="244"/>
      <c r="H505" s="244"/>
      <c r="I505"/>
      <c r="J505"/>
      <c r="K505"/>
      <c r="L505"/>
      <c r="N505" s="245"/>
      <c r="O505"/>
      <c r="P505"/>
      <c r="Q505"/>
      <c r="R505"/>
    </row>
    <row r="506" spans="5:18">
      <c r="E506" s="244"/>
      <c r="F506" s="244"/>
      <c r="G506" s="244"/>
      <c r="H506" s="244"/>
      <c r="I506"/>
      <c r="J506"/>
      <c r="K506"/>
      <c r="L506"/>
      <c r="N506" s="245"/>
      <c r="O506"/>
      <c r="P506"/>
      <c r="Q506"/>
      <c r="R506"/>
    </row>
    <row r="507" spans="5:18">
      <c r="E507" s="244"/>
      <c r="F507" s="244"/>
      <c r="G507" s="244"/>
      <c r="H507" s="244"/>
      <c r="I507"/>
      <c r="J507"/>
      <c r="K507"/>
      <c r="L507" s="245"/>
      <c r="N507" s="245"/>
      <c r="O507"/>
      <c r="P507"/>
      <c r="Q507"/>
      <c r="R507" s="245"/>
    </row>
    <row r="508" spans="5:18">
      <c r="E508" s="244"/>
      <c r="F508" s="244"/>
      <c r="G508" s="244"/>
      <c r="H508" s="244"/>
      <c r="I508"/>
      <c r="J508"/>
      <c r="K508"/>
      <c r="L508" s="245"/>
      <c r="N508" s="245"/>
      <c r="O508"/>
      <c r="P508"/>
      <c r="Q508"/>
      <c r="R508" s="245"/>
    </row>
    <row r="509" spans="5:18">
      <c r="E509" s="244"/>
      <c r="F509" s="244"/>
      <c r="G509" s="244"/>
      <c r="H509" s="244"/>
      <c r="I509"/>
      <c r="J509"/>
      <c r="K509"/>
      <c r="L509" s="245"/>
      <c r="N509" s="245"/>
      <c r="O509"/>
      <c r="P509"/>
      <c r="Q509"/>
      <c r="R509" s="245"/>
    </row>
    <row r="510" spans="5:18">
      <c r="E510" s="244"/>
      <c r="F510" s="244"/>
      <c r="G510" s="244"/>
      <c r="H510" s="244"/>
      <c r="I510"/>
      <c r="J510"/>
      <c r="K510"/>
      <c r="L510" s="245"/>
      <c r="N510" s="245"/>
      <c r="O510"/>
      <c r="P510"/>
      <c r="Q510"/>
      <c r="R510" s="245"/>
    </row>
    <row r="511" spans="5:18">
      <c r="E511" s="244"/>
      <c r="F511" s="244"/>
      <c r="G511" s="244"/>
      <c r="H511" s="244"/>
      <c r="I511"/>
      <c r="J511"/>
      <c r="K511"/>
      <c r="L511" s="245"/>
      <c r="N511" s="245"/>
      <c r="O511"/>
      <c r="P511"/>
      <c r="Q511"/>
      <c r="R511" s="245"/>
    </row>
    <row r="512" spans="5:18">
      <c r="E512" s="244"/>
      <c r="F512" s="244"/>
      <c r="G512" s="244"/>
      <c r="H512" s="244"/>
      <c r="I512"/>
      <c r="J512"/>
      <c r="K512"/>
      <c r="L512"/>
      <c r="N512" s="245"/>
      <c r="O512"/>
      <c r="P512"/>
      <c r="Q512"/>
      <c r="R512"/>
    </row>
    <row r="513" spans="5:18">
      <c r="E513" s="244"/>
      <c r="F513" s="244"/>
      <c r="G513" s="244"/>
      <c r="H513" s="244"/>
      <c r="I513"/>
      <c r="J513"/>
      <c r="K513"/>
      <c r="L513" s="245"/>
      <c r="N513" s="245"/>
      <c r="O513"/>
      <c r="P513"/>
      <c r="Q513"/>
      <c r="R513" s="245"/>
    </row>
    <row r="514" spans="5:18">
      <c r="E514" s="244"/>
      <c r="F514" s="244"/>
      <c r="G514" s="244"/>
      <c r="H514" s="244"/>
      <c r="I514"/>
      <c r="J514"/>
      <c r="K514"/>
      <c r="L514" s="245"/>
      <c r="N514" s="245"/>
      <c r="O514"/>
      <c r="P514"/>
      <c r="Q514"/>
      <c r="R514" s="245"/>
    </row>
    <row r="515" spans="5:18">
      <c r="E515" s="244"/>
      <c r="F515" s="244"/>
      <c r="G515" s="244"/>
      <c r="H515" s="244"/>
      <c r="I515"/>
      <c r="J515"/>
      <c r="K515"/>
      <c r="L515" s="245"/>
      <c r="N515" s="245"/>
      <c r="O515"/>
      <c r="P515"/>
      <c r="Q515"/>
      <c r="R515" s="245"/>
    </row>
    <row r="516" spans="5:18">
      <c r="E516" s="244"/>
      <c r="F516" s="244"/>
      <c r="G516" s="244"/>
      <c r="H516" s="244"/>
      <c r="I516"/>
      <c r="J516"/>
      <c r="K516"/>
      <c r="L516" s="245"/>
      <c r="N516" s="245"/>
      <c r="O516"/>
      <c r="P516"/>
      <c r="Q516"/>
      <c r="R516" s="245"/>
    </row>
    <row r="517" spans="5:18">
      <c r="E517" s="244"/>
      <c r="F517" s="244"/>
      <c r="G517" s="244"/>
      <c r="H517" s="244"/>
      <c r="I517"/>
      <c r="J517"/>
      <c r="K517"/>
      <c r="L517" s="245"/>
      <c r="N517" s="245"/>
      <c r="O517"/>
      <c r="P517"/>
      <c r="Q517"/>
      <c r="R517" s="245"/>
    </row>
    <row r="518" spans="5:18">
      <c r="E518" s="244"/>
      <c r="F518" s="244"/>
      <c r="G518" s="244"/>
      <c r="H518" s="244"/>
      <c r="I518"/>
      <c r="J518"/>
      <c r="K518"/>
      <c r="L518" s="245"/>
      <c r="N518" s="245"/>
      <c r="O518"/>
      <c r="P518"/>
      <c r="Q518"/>
      <c r="R518" s="245"/>
    </row>
    <row r="519" spans="5:18">
      <c r="E519" s="244"/>
      <c r="F519" s="244"/>
      <c r="G519" s="244"/>
      <c r="H519" s="244"/>
      <c r="I519"/>
      <c r="J519"/>
      <c r="K519"/>
      <c r="L519" s="245"/>
      <c r="N519" s="245"/>
      <c r="O519"/>
      <c r="P519"/>
      <c r="Q519"/>
      <c r="R519" s="245"/>
    </row>
    <row r="520" spans="5:18">
      <c r="E520" s="244"/>
      <c r="F520" s="244"/>
      <c r="G520" s="244"/>
      <c r="H520" s="244"/>
      <c r="I520"/>
      <c r="J520"/>
      <c r="K520"/>
      <c r="L520" s="245"/>
      <c r="N520" s="245"/>
      <c r="O520"/>
      <c r="P520"/>
      <c r="Q520"/>
      <c r="R520" s="245"/>
    </row>
    <row r="521" spans="5:18">
      <c r="E521" s="244"/>
      <c r="F521" s="244"/>
      <c r="G521" s="244"/>
      <c r="H521" s="244"/>
      <c r="I521"/>
      <c r="J521"/>
      <c r="K521"/>
      <c r="L521" s="245"/>
      <c r="N521" s="245"/>
      <c r="O521"/>
      <c r="P521"/>
      <c r="Q521"/>
      <c r="R521" s="245"/>
    </row>
    <row r="522" spans="5:18">
      <c r="E522" s="244"/>
      <c r="F522" s="244"/>
      <c r="G522" s="244"/>
      <c r="H522" s="244"/>
      <c r="I522"/>
      <c r="J522"/>
      <c r="K522"/>
      <c r="L522" s="245"/>
      <c r="N522" s="245"/>
      <c r="O522"/>
      <c r="P522"/>
      <c r="Q522"/>
      <c r="R522" s="245"/>
    </row>
    <row r="523" spans="5:18">
      <c r="E523" s="244"/>
      <c r="F523" s="244"/>
      <c r="G523" s="244"/>
      <c r="H523" s="244"/>
      <c r="I523"/>
      <c r="J523"/>
      <c r="K523"/>
      <c r="L523" s="245"/>
      <c r="N523" s="245"/>
      <c r="O523"/>
      <c r="P523"/>
      <c r="Q523"/>
      <c r="R523" s="245"/>
    </row>
    <row r="524" spans="5:18">
      <c r="E524" s="244"/>
      <c r="F524" s="244"/>
      <c r="G524" s="244"/>
      <c r="H524" s="244"/>
      <c r="I524"/>
      <c r="J524"/>
      <c r="K524"/>
      <c r="L524" s="245"/>
      <c r="N524" s="245"/>
      <c r="O524"/>
      <c r="P524"/>
      <c r="Q524"/>
      <c r="R524" s="245"/>
    </row>
    <row r="525" spans="5:18">
      <c r="E525" s="244"/>
      <c r="F525" s="244"/>
      <c r="G525" s="244"/>
      <c r="H525" s="244"/>
      <c r="I525"/>
      <c r="J525"/>
      <c r="K525"/>
      <c r="L525" s="245"/>
      <c r="N525" s="245"/>
      <c r="O525"/>
      <c r="P525"/>
      <c r="Q525"/>
      <c r="R525" s="245"/>
    </row>
    <row r="526" spans="5:18">
      <c r="E526" s="244"/>
      <c r="F526" s="244"/>
      <c r="G526" s="244"/>
      <c r="H526" s="244"/>
      <c r="I526"/>
      <c r="J526"/>
      <c r="K526"/>
      <c r="L526" s="245"/>
      <c r="N526" s="245"/>
      <c r="O526"/>
      <c r="P526"/>
      <c r="Q526"/>
      <c r="R526" s="245"/>
    </row>
    <row r="527" spans="5:18">
      <c r="E527" s="244"/>
      <c r="F527" s="244"/>
      <c r="G527" s="244"/>
      <c r="H527" s="244"/>
      <c r="I527"/>
      <c r="J527"/>
      <c r="K527"/>
      <c r="L527"/>
      <c r="N527" s="245"/>
      <c r="O527"/>
      <c r="P527"/>
      <c r="Q527"/>
      <c r="R527"/>
    </row>
    <row r="528" spans="5:18">
      <c r="E528" s="244"/>
      <c r="F528" s="244"/>
      <c r="G528" s="244"/>
      <c r="H528" s="244"/>
      <c r="I528"/>
      <c r="J528"/>
      <c r="K528"/>
      <c r="L528" s="245"/>
      <c r="N528" s="245"/>
      <c r="O528"/>
      <c r="P528"/>
      <c r="Q528"/>
      <c r="R528" s="245"/>
    </row>
    <row r="529" spans="5:18">
      <c r="E529" s="244"/>
      <c r="F529" s="244"/>
      <c r="G529" s="244"/>
      <c r="H529" s="244"/>
      <c r="I529"/>
      <c r="J529"/>
      <c r="K529"/>
      <c r="L529" s="245"/>
      <c r="N529" s="245"/>
      <c r="O529"/>
      <c r="P529"/>
      <c r="Q529"/>
      <c r="R529" s="245"/>
    </row>
    <row r="530" spans="5:18">
      <c r="E530" s="244"/>
      <c r="F530" s="244"/>
      <c r="G530" s="244"/>
      <c r="H530" s="244"/>
      <c r="I530"/>
      <c r="J530"/>
      <c r="K530"/>
      <c r="L530" s="245"/>
      <c r="N530" s="245"/>
      <c r="O530"/>
      <c r="P530"/>
      <c r="Q530"/>
      <c r="R530" s="245"/>
    </row>
    <row r="531" spans="5:18">
      <c r="E531" s="244"/>
      <c r="F531" s="244"/>
      <c r="G531" s="244"/>
      <c r="H531" s="244"/>
      <c r="I531"/>
      <c r="J531"/>
      <c r="K531"/>
      <c r="L531"/>
      <c r="N531" s="245"/>
      <c r="O531"/>
      <c r="P531"/>
      <c r="Q531"/>
      <c r="R531"/>
    </row>
    <row r="532" spans="5:18">
      <c r="E532" s="244"/>
      <c r="F532" s="244"/>
      <c r="G532" s="244"/>
      <c r="H532" s="244"/>
      <c r="I532"/>
      <c r="J532"/>
      <c r="K532"/>
      <c r="L532"/>
      <c r="N532" s="245"/>
      <c r="O532"/>
      <c r="P532"/>
      <c r="Q532"/>
      <c r="R532"/>
    </row>
    <row r="533" spans="5:18">
      <c r="E533" s="244"/>
      <c r="F533" s="244"/>
      <c r="G533" s="244"/>
      <c r="H533" s="244"/>
      <c r="I533"/>
      <c r="J533"/>
      <c r="K533"/>
      <c r="L533"/>
      <c r="N533" s="245"/>
      <c r="O533"/>
      <c r="P533"/>
      <c r="Q533"/>
      <c r="R533"/>
    </row>
    <row r="534" spans="5:18">
      <c r="E534" s="244"/>
      <c r="F534" s="244"/>
      <c r="G534" s="244"/>
      <c r="H534" s="244"/>
      <c r="I534"/>
      <c r="J534"/>
      <c r="K534"/>
      <c r="L534"/>
      <c r="N534" s="245"/>
      <c r="O534"/>
      <c r="P534"/>
      <c r="Q534"/>
      <c r="R534"/>
    </row>
    <row r="535" spans="5:18">
      <c r="E535" s="244"/>
      <c r="F535" s="244"/>
      <c r="G535" s="244"/>
      <c r="H535" s="244"/>
      <c r="I535"/>
      <c r="J535"/>
      <c r="K535"/>
      <c r="L535"/>
      <c r="N535" s="245"/>
      <c r="O535"/>
      <c r="P535"/>
      <c r="Q535"/>
      <c r="R535"/>
    </row>
    <row r="536" spans="5:18">
      <c r="E536" s="244"/>
      <c r="F536" s="244"/>
      <c r="G536" s="244"/>
      <c r="H536" s="244"/>
      <c r="I536"/>
      <c r="J536"/>
      <c r="K536"/>
      <c r="L536" s="245"/>
      <c r="N536" s="245"/>
      <c r="O536"/>
      <c r="P536"/>
      <c r="Q536"/>
      <c r="R536" s="245"/>
    </row>
    <row r="537" spans="5:18">
      <c r="E537" s="244"/>
      <c r="F537" s="244"/>
      <c r="G537" s="244"/>
      <c r="H537" s="244"/>
      <c r="I537"/>
      <c r="J537"/>
      <c r="K537"/>
      <c r="L537" s="245"/>
      <c r="N537" s="245"/>
      <c r="O537"/>
      <c r="P537"/>
      <c r="Q537"/>
      <c r="R537" s="245"/>
    </row>
    <row r="538" spans="5:18">
      <c r="E538" s="244"/>
      <c r="F538" s="244"/>
      <c r="G538" s="244"/>
      <c r="H538" s="244"/>
      <c r="I538"/>
      <c r="J538"/>
      <c r="K538"/>
      <c r="L538" s="245"/>
      <c r="N538" s="245"/>
      <c r="O538"/>
      <c r="P538"/>
      <c r="Q538"/>
      <c r="R538" s="245"/>
    </row>
    <row r="539" spans="5:18">
      <c r="E539" s="244"/>
      <c r="F539" s="244"/>
      <c r="G539" s="244"/>
      <c r="H539" s="244"/>
      <c r="I539"/>
      <c r="J539"/>
      <c r="K539"/>
      <c r="L539"/>
      <c r="N539" s="245"/>
      <c r="O539"/>
      <c r="P539"/>
      <c r="Q539"/>
      <c r="R539"/>
    </row>
    <row r="540" spans="5:18">
      <c r="E540" s="244"/>
      <c r="F540" s="244"/>
      <c r="G540" s="244"/>
      <c r="H540" s="244"/>
      <c r="I540"/>
      <c r="J540"/>
      <c r="K540"/>
      <c r="L540" s="245"/>
      <c r="N540" s="245"/>
      <c r="O540"/>
      <c r="P540"/>
      <c r="Q540"/>
      <c r="R540" s="245"/>
    </row>
    <row r="541" spans="5:18">
      <c r="E541" s="244"/>
      <c r="F541" s="244"/>
      <c r="G541" s="244"/>
      <c r="H541" s="244"/>
      <c r="I541"/>
      <c r="J541"/>
      <c r="K541"/>
      <c r="L541" s="245"/>
      <c r="N541" s="245"/>
      <c r="O541"/>
      <c r="P541"/>
      <c r="Q541"/>
      <c r="R541" s="245"/>
    </row>
    <row r="542" spans="5:18">
      <c r="E542" s="244"/>
      <c r="F542" s="244"/>
      <c r="G542" s="244"/>
      <c r="H542" s="244"/>
      <c r="I542"/>
      <c r="J542"/>
      <c r="K542"/>
      <c r="L542"/>
      <c r="N542" s="245"/>
      <c r="O542"/>
      <c r="P542"/>
      <c r="Q542"/>
      <c r="R542"/>
    </row>
    <row r="543" spans="5:18">
      <c r="E543" s="244"/>
      <c r="F543" s="244"/>
      <c r="G543" s="244"/>
      <c r="H543" s="244"/>
      <c r="I543"/>
      <c r="J543"/>
      <c r="K543"/>
      <c r="L543"/>
      <c r="N543" s="245"/>
      <c r="O543"/>
      <c r="P543"/>
      <c r="Q543"/>
      <c r="R543"/>
    </row>
    <row r="544" spans="5:18">
      <c r="E544" s="244"/>
      <c r="F544" s="244"/>
      <c r="G544" s="244"/>
      <c r="H544" s="244"/>
      <c r="I544"/>
      <c r="J544"/>
      <c r="K544"/>
      <c r="L544"/>
      <c r="N544" s="245"/>
      <c r="O544"/>
      <c r="P544"/>
      <c r="Q544"/>
      <c r="R544"/>
    </row>
    <row r="545" spans="5:18">
      <c r="E545" s="244"/>
      <c r="F545" s="244"/>
      <c r="G545" s="244"/>
      <c r="H545" s="244"/>
      <c r="I545"/>
      <c r="J545"/>
      <c r="K545"/>
      <c r="L545" s="245"/>
      <c r="N545" s="245"/>
      <c r="O545"/>
      <c r="P545"/>
      <c r="Q545"/>
      <c r="R545" s="245"/>
    </row>
    <row r="546" spans="5:18">
      <c r="E546" s="244"/>
      <c r="F546" s="244"/>
      <c r="G546" s="244"/>
      <c r="H546" s="244"/>
      <c r="I546"/>
      <c r="J546"/>
      <c r="K546"/>
      <c r="L546"/>
      <c r="N546" s="245"/>
      <c r="O546"/>
      <c r="P546"/>
      <c r="Q546"/>
      <c r="R546"/>
    </row>
    <row r="547" spans="5:18">
      <c r="E547" s="244"/>
      <c r="F547" s="244"/>
      <c r="G547" s="244"/>
      <c r="H547" s="244"/>
      <c r="I547"/>
      <c r="J547"/>
      <c r="K547"/>
      <c r="L547" s="245"/>
      <c r="N547" s="245"/>
      <c r="O547"/>
      <c r="P547"/>
      <c r="Q547"/>
      <c r="R547" s="245"/>
    </row>
    <row r="548" spans="5:18">
      <c r="E548" s="244"/>
      <c r="F548" s="244"/>
      <c r="G548" s="244"/>
      <c r="H548" s="244"/>
      <c r="I548"/>
      <c r="J548"/>
      <c r="K548"/>
      <c r="L548" s="245"/>
      <c r="N548" s="245"/>
      <c r="O548"/>
      <c r="P548"/>
      <c r="Q548"/>
      <c r="R548" s="245"/>
    </row>
    <row r="549" spans="5:18">
      <c r="E549" s="244"/>
      <c r="F549" s="244"/>
      <c r="G549" s="244"/>
      <c r="H549" s="244"/>
      <c r="I549"/>
      <c r="J549"/>
      <c r="K549"/>
      <c r="L549" s="245"/>
      <c r="N549" s="245"/>
      <c r="O549"/>
      <c r="P549"/>
      <c r="Q549"/>
      <c r="R549" s="245"/>
    </row>
    <row r="550" spans="5:18">
      <c r="E550" s="244"/>
      <c r="F550" s="244"/>
      <c r="G550" s="244"/>
      <c r="H550" s="244"/>
      <c r="I550"/>
      <c r="J550"/>
      <c r="K550"/>
      <c r="L550"/>
      <c r="N550" s="245"/>
      <c r="O550"/>
      <c r="P550"/>
      <c r="Q550"/>
      <c r="R550"/>
    </row>
    <row r="551" spans="5:18">
      <c r="E551" s="244"/>
      <c r="F551" s="244"/>
      <c r="G551" s="244"/>
      <c r="H551" s="244"/>
      <c r="I551"/>
      <c r="J551"/>
      <c r="K551"/>
      <c r="L551" s="245"/>
      <c r="N551" s="245"/>
      <c r="O551"/>
      <c r="P551"/>
      <c r="Q551"/>
      <c r="R551" s="245"/>
    </row>
    <row r="552" spans="5:18">
      <c r="E552" s="244"/>
      <c r="F552" s="244"/>
      <c r="G552" s="244"/>
      <c r="H552" s="244"/>
      <c r="I552"/>
      <c r="J552"/>
      <c r="K552"/>
      <c r="L552" s="245"/>
      <c r="N552" s="245"/>
      <c r="O552"/>
      <c r="P552"/>
      <c r="Q552"/>
      <c r="R552" s="245"/>
    </row>
    <row r="553" spans="5:18">
      <c r="E553" s="244"/>
      <c r="F553" s="244"/>
      <c r="G553" s="244"/>
      <c r="H553" s="244"/>
      <c r="I553"/>
      <c r="J553"/>
      <c r="K553"/>
      <c r="L553" s="245"/>
      <c r="N553" s="245"/>
      <c r="O553"/>
      <c r="P553"/>
      <c r="Q553"/>
      <c r="R553" s="245"/>
    </row>
    <row r="554" spans="5:18">
      <c r="E554" s="244"/>
      <c r="F554" s="244"/>
      <c r="G554" s="244"/>
      <c r="H554" s="244"/>
      <c r="I554"/>
      <c r="J554"/>
      <c r="K554"/>
      <c r="L554" s="245"/>
      <c r="N554" s="245"/>
      <c r="O554"/>
      <c r="P554"/>
      <c r="Q554"/>
      <c r="R554" s="245"/>
    </row>
    <row r="555" spans="5:18">
      <c r="E555" s="244"/>
      <c r="F555" s="244"/>
      <c r="G555" s="244"/>
      <c r="H555" s="244"/>
      <c r="I555"/>
      <c r="J555"/>
      <c r="K555"/>
      <c r="L555" s="245"/>
      <c r="N555" s="245"/>
      <c r="O555"/>
      <c r="P555"/>
      <c r="Q555"/>
      <c r="R555" s="245"/>
    </row>
    <row r="556" spans="5:18">
      <c r="E556" s="244"/>
      <c r="F556" s="244"/>
      <c r="G556" s="244"/>
      <c r="H556" s="244"/>
      <c r="I556"/>
      <c r="J556"/>
      <c r="K556"/>
      <c r="L556" s="245"/>
      <c r="N556" s="245"/>
      <c r="O556"/>
      <c r="P556"/>
      <c r="Q556"/>
      <c r="R556" s="245"/>
    </row>
    <row r="557" spans="5:18">
      <c r="E557" s="244"/>
      <c r="F557" s="244"/>
      <c r="G557" s="244"/>
      <c r="H557" s="244"/>
      <c r="I557"/>
      <c r="J557"/>
      <c r="K557"/>
      <c r="L557" s="245"/>
      <c r="N557" s="245"/>
      <c r="O557"/>
      <c r="P557"/>
      <c r="Q557"/>
      <c r="R557" s="245"/>
    </row>
    <row r="558" spans="5:18">
      <c r="E558" s="244"/>
      <c r="F558" s="244"/>
      <c r="G558" s="244"/>
      <c r="H558" s="244"/>
      <c r="I558"/>
      <c r="J558"/>
      <c r="K558"/>
      <c r="L558" s="245"/>
      <c r="N558" s="245"/>
      <c r="O558"/>
      <c r="P558"/>
      <c r="Q558"/>
      <c r="R558" s="245"/>
    </row>
    <row r="559" spans="5:18">
      <c r="E559" s="244"/>
      <c r="F559" s="244"/>
      <c r="G559" s="244"/>
      <c r="H559" s="244"/>
      <c r="I559"/>
      <c r="J559"/>
      <c r="K559"/>
      <c r="L559" s="245"/>
      <c r="N559" s="245"/>
      <c r="O559"/>
      <c r="P559"/>
      <c r="Q559"/>
      <c r="R559" s="245"/>
    </row>
    <row r="560" spans="5:18">
      <c r="E560" s="244"/>
      <c r="F560" s="244"/>
      <c r="G560" s="244"/>
      <c r="H560" s="244"/>
      <c r="I560"/>
      <c r="J560"/>
      <c r="K560"/>
      <c r="L560" s="245"/>
      <c r="N560" s="245"/>
      <c r="O560"/>
      <c r="P560"/>
      <c r="Q560"/>
      <c r="R560" s="245"/>
    </row>
    <row r="561" spans="5:18">
      <c r="E561" s="244"/>
      <c r="F561" s="244"/>
      <c r="G561" s="244"/>
      <c r="H561" s="244"/>
      <c r="I561"/>
      <c r="J561"/>
      <c r="K561"/>
      <c r="L561" s="245"/>
      <c r="N561" s="245"/>
      <c r="O561"/>
      <c r="P561"/>
      <c r="Q561"/>
      <c r="R561" s="245"/>
    </row>
    <row r="562" spans="5:18">
      <c r="E562" s="244"/>
      <c r="F562" s="244"/>
      <c r="G562" s="244"/>
      <c r="H562" s="244"/>
      <c r="I562"/>
      <c r="J562"/>
      <c r="K562"/>
      <c r="L562"/>
      <c r="N562" s="245"/>
      <c r="O562"/>
      <c r="P562"/>
      <c r="Q562"/>
      <c r="R562"/>
    </row>
    <row r="563" spans="5:18">
      <c r="E563" s="244"/>
      <c r="F563" s="244"/>
      <c r="G563" s="244"/>
      <c r="H563" s="244"/>
      <c r="I563"/>
      <c r="J563"/>
      <c r="K563"/>
      <c r="L563"/>
      <c r="N563" s="245"/>
      <c r="O563"/>
      <c r="P563"/>
      <c r="Q563"/>
      <c r="R563"/>
    </row>
    <row r="564" spans="5:18">
      <c r="E564" s="244"/>
      <c r="F564" s="244"/>
      <c r="G564" s="244"/>
      <c r="H564" s="244"/>
      <c r="I564"/>
      <c r="J564"/>
      <c r="K564"/>
      <c r="L564"/>
      <c r="N564" s="245"/>
      <c r="O564"/>
      <c r="P564"/>
      <c r="Q564"/>
      <c r="R564"/>
    </row>
    <row r="565" spans="5:18">
      <c r="E565" s="244"/>
      <c r="F565" s="244"/>
      <c r="G565" s="244"/>
      <c r="H565" s="244"/>
      <c r="I565"/>
      <c r="J565"/>
      <c r="K565"/>
      <c r="L565" s="245"/>
      <c r="N565" s="245"/>
      <c r="O565"/>
      <c r="P565"/>
      <c r="Q565"/>
      <c r="R565" s="245"/>
    </row>
    <row r="566" spans="5:18">
      <c r="E566" s="244"/>
      <c r="F566" s="244"/>
      <c r="G566" s="244"/>
      <c r="H566" s="244"/>
      <c r="I566"/>
      <c r="J566"/>
      <c r="K566"/>
      <c r="L566"/>
      <c r="N566" s="245"/>
      <c r="O566"/>
      <c r="P566"/>
      <c r="Q566"/>
      <c r="R566"/>
    </row>
    <row r="567" spans="5:18">
      <c r="E567" s="244"/>
      <c r="F567" s="244"/>
      <c r="G567" s="244"/>
      <c r="H567" s="244"/>
      <c r="I567"/>
      <c r="J567"/>
      <c r="K567"/>
      <c r="L567" s="245"/>
      <c r="N567" s="245"/>
      <c r="O567"/>
      <c r="P567"/>
      <c r="Q567"/>
      <c r="R567" s="245"/>
    </row>
    <row r="568" spans="5:18">
      <c r="E568" s="244"/>
      <c r="F568" s="244"/>
      <c r="G568" s="244"/>
      <c r="H568" s="244"/>
      <c r="I568"/>
      <c r="J568"/>
      <c r="K568"/>
      <c r="L568" s="245"/>
      <c r="N568" s="245"/>
      <c r="O568"/>
      <c r="P568"/>
      <c r="Q568"/>
      <c r="R568" s="245"/>
    </row>
    <row r="569" spans="5:18">
      <c r="E569" s="244"/>
      <c r="F569" s="244"/>
      <c r="G569" s="244"/>
      <c r="H569" s="244"/>
      <c r="I569"/>
      <c r="J569"/>
      <c r="K569"/>
      <c r="L569"/>
      <c r="N569" s="245"/>
      <c r="O569"/>
      <c r="P569"/>
      <c r="Q569"/>
      <c r="R569"/>
    </row>
    <row r="570" spans="5:18">
      <c r="E570" s="244"/>
      <c r="F570" s="244"/>
      <c r="G570" s="244"/>
      <c r="H570" s="244"/>
      <c r="I570"/>
      <c r="J570"/>
      <c r="K570"/>
      <c r="L570" s="245"/>
      <c r="N570" s="245"/>
      <c r="O570"/>
      <c r="P570"/>
      <c r="Q570"/>
      <c r="R570" s="245"/>
    </row>
    <row r="571" spans="5:18">
      <c r="E571" s="244"/>
      <c r="F571" s="244"/>
      <c r="G571" s="244"/>
      <c r="H571" s="244"/>
      <c r="I571"/>
      <c r="J571"/>
      <c r="K571"/>
      <c r="L571"/>
      <c r="N571" s="245"/>
      <c r="O571"/>
      <c r="P571"/>
      <c r="Q571"/>
      <c r="R571"/>
    </row>
    <row r="572" spans="5:18">
      <c r="E572" s="244"/>
      <c r="F572" s="244"/>
      <c r="G572" s="244"/>
      <c r="H572" s="244"/>
      <c r="I572"/>
      <c r="J572"/>
      <c r="K572"/>
      <c r="L572"/>
      <c r="N572" s="245"/>
      <c r="O572"/>
      <c r="P572"/>
      <c r="Q572"/>
      <c r="R572"/>
    </row>
    <row r="573" spans="5:18">
      <c r="E573" s="244"/>
      <c r="F573" s="244"/>
      <c r="G573" s="244"/>
      <c r="H573" s="244"/>
      <c r="I573"/>
      <c r="J573"/>
      <c r="K573"/>
      <c r="L573"/>
      <c r="N573" s="245"/>
      <c r="O573"/>
      <c r="P573"/>
      <c r="Q573"/>
      <c r="R573"/>
    </row>
    <row r="574" spans="5:18">
      <c r="E574" s="244"/>
      <c r="F574" s="244"/>
      <c r="G574" s="244"/>
      <c r="H574" s="244"/>
      <c r="I574"/>
      <c r="J574"/>
      <c r="K574"/>
      <c r="L574"/>
      <c r="N574" s="245"/>
      <c r="O574"/>
      <c r="P574"/>
      <c r="Q574"/>
      <c r="R574"/>
    </row>
    <row r="575" spans="5:18">
      <c r="E575" s="244"/>
      <c r="F575" s="244"/>
      <c r="G575" s="244"/>
      <c r="H575" s="244"/>
      <c r="I575"/>
      <c r="J575"/>
      <c r="K575"/>
      <c r="L575"/>
      <c r="N575" s="245"/>
      <c r="O575"/>
      <c r="P575"/>
      <c r="Q575"/>
      <c r="R575"/>
    </row>
    <row r="576" spans="5:18">
      <c r="E576" s="244"/>
      <c r="F576" s="244"/>
      <c r="G576" s="244"/>
      <c r="H576" s="244"/>
      <c r="I576"/>
      <c r="J576"/>
      <c r="K576"/>
      <c r="L576" s="245"/>
      <c r="N576" s="245"/>
      <c r="O576"/>
      <c r="P576"/>
      <c r="Q576"/>
      <c r="R576" s="245"/>
    </row>
    <row r="577" spans="5:18">
      <c r="E577" s="244"/>
      <c r="F577" s="244"/>
      <c r="G577" s="244"/>
      <c r="H577" s="244"/>
      <c r="I577"/>
      <c r="J577"/>
      <c r="K577"/>
      <c r="L577" s="245"/>
      <c r="N577" s="245"/>
      <c r="O577"/>
      <c r="P577"/>
      <c r="Q577"/>
      <c r="R577" s="245"/>
    </row>
    <row r="578" spans="5:18">
      <c r="E578" s="244"/>
      <c r="F578" s="244"/>
      <c r="G578" s="244"/>
      <c r="H578" s="244"/>
      <c r="I578"/>
      <c r="J578"/>
      <c r="K578"/>
      <c r="L578" s="245"/>
      <c r="N578" s="245"/>
      <c r="O578"/>
      <c r="P578"/>
      <c r="Q578"/>
      <c r="R578" s="245"/>
    </row>
    <row r="579" spans="5:18">
      <c r="E579" s="244"/>
      <c r="F579" s="244"/>
      <c r="G579" s="244"/>
      <c r="H579" s="244"/>
      <c r="I579"/>
      <c r="J579"/>
      <c r="K579"/>
      <c r="L579" s="245"/>
      <c r="N579" s="245"/>
      <c r="O579"/>
      <c r="P579"/>
      <c r="Q579"/>
      <c r="R579" s="245"/>
    </row>
    <row r="580" spans="5:18">
      <c r="E580" s="244"/>
      <c r="F580" s="244"/>
      <c r="G580" s="244"/>
      <c r="H580" s="244"/>
      <c r="I580"/>
      <c r="J580"/>
      <c r="K580"/>
      <c r="L580" s="245"/>
      <c r="N580" s="245"/>
      <c r="O580"/>
      <c r="P580"/>
      <c r="Q580"/>
      <c r="R580" s="245"/>
    </row>
    <row r="581" spans="5:18">
      <c r="E581" s="244"/>
      <c r="F581" s="244"/>
      <c r="G581" s="244"/>
      <c r="H581" s="244"/>
      <c r="I581"/>
      <c r="J581"/>
      <c r="K581"/>
      <c r="L581"/>
      <c r="N581" s="245"/>
      <c r="O581"/>
      <c r="P581"/>
      <c r="Q581"/>
      <c r="R581"/>
    </row>
    <row r="582" spans="5:18">
      <c r="E582" s="244"/>
      <c r="F582" s="244"/>
      <c r="G582" s="244"/>
      <c r="H582" s="244"/>
      <c r="I582"/>
      <c r="J582"/>
      <c r="K582"/>
      <c r="L582"/>
      <c r="N582" s="245"/>
      <c r="O582"/>
      <c r="P582"/>
      <c r="Q582"/>
      <c r="R582"/>
    </row>
    <row r="583" spans="5:18">
      <c r="E583" s="244"/>
      <c r="F583" s="244"/>
      <c r="G583" s="244"/>
      <c r="H583" s="244"/>
      <c r="I583"/>
      <c r="J583"/>
      <c r="K583"/>
      <c r="L583" s="245"/>
      <c r="N583" s="245"/>
      <c r="O583"/>
      <c r="P583"/>
      <c r="Q583"/>
      <c r="R583" s="245"/>
    </row>
    <row r="584" spans="5:18">
      <c r="E584" s="244"/>
      <c r="F584" s="244"/>
      <c r="G584" s="244"/>
      <c r="H584" s="244"/>
      <c r="I584"/>
      <c r="J584"/>
      <c r="K584"/>
      <c r="L584"/>
      <c r="N584" s="245"/>
      <c r="O584"/>
      <c r="P584"/>
      <c r="Q584"/>
      <c r="R584"/>
    </row>
    <row r="585" spans="5:18">
      <c r="E585" s="244"/>
      <c r="F585" s="244"/>
      <c r="G585" s="244"/>
      <c r="H585" s="244"/>
      <c r="I585"/>
      <c r="J585"/>
      <c r="K585"/>
      <c r="L585" s="245"/>
      <c r="N585" s="245"/>
      <c r="O585"/>
      <c r="P585"/>
      <c r="Q585"/>
      <c r="R585" s="245"/>
    </row>
    <row r="586" spans="5:18">
      <c r="E586" s="244"/>
      <c r="F586" s="244"/>
      <c r="G586" s="244"/>
      <c r="H586" s="244"/>
      <c r="I586"/>
      <c r="J586"/>
      <c r="K586"/>
      <c r="L586"/>
      <c r="N586" s="245"/>
      <c r="O586"/>
      <c r="P586"/>
      <c r="Q586"/>
      <c r="R586"/>
    </row>
    <row r="587" spans="5:18">
      <c r="E587" s="244"/>
      <c r="F587" s="244"/>
      <c r="G587" s="244"/>
      <c r="H587" s="244"/>
      <c r="I587"/>
      <c r="J587"/>
      <c r="K587"/>
      <c r="L587"/>
      <c r="N587" s="245"/>
      <c r="O587"/>
      <c r="P587"/>
      <c r="Q587"/>
      <c r="R587"/>
    </row>
    <row r="588" spans="5:18">
      <c r="E588" s="244"/>
      <c r="F588" s="244"/>
      <c r="G588" s="244"/>
      <c r="H588" s="244"/>
      <c r="I588"/>
      <c r="J588"/>
      <c r="K588"/>
      <c r="L588" s="245"/>
      <c r="N588" s="245"/>
      <c r="O588"/>
      <c r="P588"/>
      <c r="Q588"/>
      <c r="R588" s="245"/>
    </row>
    <row r="589" spans="5:18">
      <c r="E589" s="244"/>
      <c r="F589" s="244"/>
      <c r="G589" s="244"/>
      <c r="H589" s="244"/>
      <c r="I589"/>
      <c r="J589"/>
      <c r="K589"/>
      <c r="L589"/>
      <c r="N589" s="245"/>
      <c r="O589"/>
      <c r="P589"/>
      <c r="Q589"/>
      <c r="R589"/>
    </row>
    <row r="590" spans="5:18">
      <c r="E590" s="244"/>
      <c r="F590" s="244"/>
      <c r="G590" s="244"/>
      <c r="H590" s="244"/>
      <c r="I590"/>
      <c r="J590"/>
      <c r="K590"/>
      <c r="L590"/>
      <c r="N590" s="245"/>
      <c r="O590"/>
      <c r="P590"/>
      <c r="Q590"/>
      <c r="R590"/>
    </row>
    <row r="591" spans="5:18">
      <c r="E591" s="244"/>
      <c r="F591" s="244"/>
      <c r="G591" s="244"/>
      <c r="H591" s="244"/>
      <c r="I591"/>
      <c r="J591"/>
      <c r="K591"/>
      <c r="L591"/>
      <c r="N591" s="245"/>
      <c r="O591"/>
      <c r="P591"/>
      <c r="Q591"/>
      <c r="R591"/>
    </row>
    <row r="592" spans="5:18">
      <c r="E592" s="244"/>
      <c r="F592" s="244"/>
      <c r="G592" s="244"/>
      <c r="H592" s="244"/>
      <c r="I592"/>
      <c r="J592"/>
      <c r="K592"/>
      <c r="L592" s="245"/>
      <c r="N592" s="245"/>
      <c r="O592"/>
      <c r="P592"/>
      <c r="Q592"/>
      <c r="R592" s="245"/>
    </row>
    <row r="593" spans="5:18">
      <c r="E593" s="244"/>
      <c r="F593" s="244"/>
      <c r="G593" s="244"/>
      <c r="H593" s="244"/>
      <c r="I593"/>
      <c r="J593"/>
      <c r="K593"/>
      <c r="L593" s="245"/>
      <c r="N593" s="245"/>
      <c r="O593"/>
      <c r="P593"/>
      <c r="Q593"/>
      <c r="R593" s="245"/>
    </row>
    <row r="594" spans="5:18">
      <c r="E594" s="244"/>
      <c r="F594" s="244"/>
      <c r="G594" s="244"/>
      <c r="H594" s="244"/>
      <c r="I594"/>
      <c r="J594"/>
      <c r="K594"/>
      <c r="L594"/>
      <c r="N594" s="245"/>
      <c r="O594"/>
      <c r="P594"/>
      <c r="Q594"/>
      <c r="R594"/>
    </row>
    <row r="595" spans="5:18">
      <c r="E595" s="244"/>
      <c r="F595" s="244"/>
      <c r="G595" s="244"/>
      <c r="H595" s="244"/>
      <c r="I595"/>
      <c r="J595"/>
      <c r="K595"/>
      <c r="L595" s="245"/>
      <c r="N595" s="245"/>
      <c r="O595"/>
      <c r="P595"/>
      <c r="Q595"/>
      <c r="R595" s="245"/>
    </row>
    <row r="596" spans="5:18">
      <c r="E596" s="244"/>
      <c r="F596" s="244"/>
      <c r="G596" s="244"/>
      <c r="H596" s="244"/>
      <c r="I596"/>
      <c r="J596"/>
      <c r="K596"/>
      <c r="L596"/>
      <c r="N596" s="245"/>
      <c r="O596"/>
      <c r="P596"/>
      <c r="Q596"/>
      <c r="R596"/>
    </row>
    <row r="597" spans="5:18">
      <c r="E597" s="244"/>
      <c r="F597" s="244"/>
      <c r="G597" s="244"/>
      <c r="H597" s="244"/>
      <c r="I597"/>
      <c r="J597"/>
      <c r="K597"/>
      <c r="L597"/>
      <c r="N597" s="245"/>
      <c r="O597"/>
      <c r="P597"/>
      <c r="Q597"/>
      <c r="R597"/>
    </row>
    <row r="598" spans="5:18">
      <c r="E598" s="244"/>
      <c r="F598" s="244"/>
      <c r="G598" s="244"/>
      <c r="H598" s="244"/>
      <c r="I598"/>
      <c r="J598"/>
      <c r="K598"/>
      <c r="L598" s="245"/>
      <c r="N598" s="245"/>
      <c r="O598"/>
      <c r="P598"/>
      <c r="Q598"/>
      <c r="R598" s="245"/>
    </row>
    <row r="599" spans="5:18">
      <c r="E599" s="244"/>
      <c r="F599" s="244"/>
      <c r="G599" s="244"/>
      <c r="H599" s="244"/>
      <c r="I599"/>
      <c r="J599"/>
      <c r="K599"/>
      <c r="L599" s="245"/>
      <c r="N599" s="245"/>
      <c r="O599"/>
      <c r="P599"/>
      <c r="Q599"/>
      <c r="R599" s="245"/>
    </row>
    <row r="600" spans="5:18">
      <c r="E600" s="244"/>
      <c r="F600" s="244"/>
      <c r="G600" s="244"/>
      <c r="H600" s="244"/>
      <c r="I600"/>
      <c r="J600"/>
      <c r="K600"/>
      <c r="L600"/>
      <c r="N600" s="245"/>
      <c r="O600"/>
      <c r="P600"/>
      <c r="Q600"/>
      <c r="R600"/>
    </row>
    <row r="601" spans="5:18">
      <c r="E601" s="244"/>
      <c r="F601" s="244"/>
      <c r="G601" s="244"/>
      <c r="H601" s="244"/>
      <c r="I601"/>
      <c r="J601"/>
      <c r="K601"/>
      <c r="L601" s="245"/>
      <c r="N601" s="245"/>
      <c r="O601"/>
      <c r="P601"/>
      <c r="Q601"/>
      <c r="R601" s="245"/>
    </row>
    <row r="602" spans="5:18">
      <c r="E602" s="244"/>
      <c r="F602" s="244"/>
      <c r="G602" s="244"/>
      <c r="H602" s="244"/>
      <c r="I602"/>
      <c r="J602"/>
      <c r="K602"/>
      <c r="L602" s="245"/>
      <c r="N602" s="245"/>
      <c r="O602"/>
      <c r="P602"/>
      <c r="Q602"/>
      <c r="R602" s="245"/>
    </row>
    <row r="603" spans="5:18">
      <c r="E603" s="244"/>
      <c r="F603" s="244"/>
      <c r="G603" s="244"/>
      <c r="H603" s="244"/>
      <c r="I603"/>
      <c r="J603"/>
      <c r="K603"/>
      <c r="L603" s="245"/>
      <c r="N603" s="245"/>
      <c r="O603"/>
      <c r="P603"/>
      <c r="Q603"/>
      <c r="R603" s="245"/>
    </row>
    <row r="604" spans="5:18">
      <c r="E604" s="244"/>
      <c r="F604" s="244"/>
      <c r="G604" s="244"/>
      <c r="H604" s="244"/>
      <c r="I604"/>
      <c r="J604"/>
      <c r="K604"/>
      <c r="L604"/>
      <c r="N604" s="245"/>
      <c r="O604"/>
      <c r="P604"/>
      <c r="Q604"/>
      <c r="R604"/>
    </row>
    <row r="605" spans="5:18">
      <c r="E605" s="244"/>
      <c r="F605" s="244"/>
      <c r="G605" s="244"/>
      <c r="H605" s="244"/>
      <c r="I605"/>
      <c r="J605"/>
      <c r="K605"/>
      <c r="L605"/>
      <c r="N605" s="245"/>
      <c r="O605"/>
      <c r="P605"/>
      <c r="Q605"/>
      <c r="R605"/>
    </row>
    <row r="606" spans="5:18">
      <c r="E606" s="244"/>
      <c r="F606" s="244"/>
      <c r="G606" s="244"/>
      <c r="H606" s="244"/>
      <c r="I606"/>
      <c r="J606"/>
      <c r="K606"/>
      <c r="L606" s="245"/>
      <c r="N606" s="245"/>
      <c r="O606"/>
      <c r="P606"/>
      <c r="Q606"/>
      <c r="R606" s="245"/>
    </row>
    <row r="607" spans="5:18">
      <c r="E607" s="244"/>
      <c r="F607" s="244"/>
      <c r="G607" s="244"/>
      <c r="H607" s="244"/>
      <c r="I607"/>
      <c r="J607"/>
      <c r="K607"/>
      <c r="L607" s="245"/>
      <c r="N607" s="245"/>
      <c r="O607"/>
      <c r="P607"/>
      <c r="Q607"/>
      <c r="R607" s="245"/>
    </row>
    <row r="608" spans="5:18">
      <c r="E608" s="244"/>
      <c r="F608" s="244"/>
      <c r="G608" s="244"/>
      <c r="H608" s="244"/>
      <c r="I608"/>
      <c r="J608"/>
      <c r="K608"/>
      <c r="L608" s="245"/>
      <c r="N608" s="245"/>
      <c r="O608"/>
      <c r="P608"/>
      <c r="Q608"/>
      <c r="R608" s="245"/>
    </row>
    <row r="609" spans="5:18">
      <c r="E609" s="244"/>
      <c r="F609" s="244"/>
      <c r="G609" s="244"/>
      <c r="H609" s="244"/>
      <c r="I609"/>
      <c r="J609"/>
      <c r="K609"/>
      <c r="L609" s="245"/>
      <c r="N609" s="245"/>
      <c r="O609"/>
      <c r="P609"/>
      <c r="Q609"/>
      <c r="R609" s="245"/>
    </row>
    <row r="610" spans="5:18">
      <c r="E610" s="244"/>
      <c r="F610" s="244"/>
      <c r="G610" s="244"/>
      <c r="H610" s="244"/>
      <c r="I610"/>
      <c r="J610"/>
      <c r="K610"/>
      <c r="L610" s="245"/>
      <c r="N610" s="245"/>
      <c r="O610"/>
      <c r="P610"/>
      <c r="Q610"/>
      <c r="R610" s="245"/>
    </row>
    <row r="611" spans="5:18">
      <c r="E611" s="244"/>
      <c r="F611" s="244"/>
      <c r="G611" s="244"/>
      <c r="H611" s="244"/>
      <c r="I611"/>
      <c r="J611"/>
      <c r="K611"/>
      <c r="L611"/>
      <c r="N611" s="245"/>
      <c r="O611"/>
      <c r="P611"/>
      <c r="Q611"/>
      <c r="R611"/>
    </row>
    <row r="612" spans="5:18">
      <c r="E612" s="244"/>
      <c r="F612" s="244"/>
      <c r="G612" s="244"/>
      <c r="H612" s="244"/>
      <c r="I612"/>
      <c r="J612"/>
      <c r="K612"/>
      <c r="L612"/>
      <c r="N612" s="245"/>
      <c r="O612"/>
      <c r="P612"/>
      <c r="Q612"/>
      <c r="R612"/>
    </row>
    <row r="613" spans="5:18">
      <c r="E613" s="244"/>
      <c r="F613" s="244"/>
      <c r="G613" s="244"/>
      <c r="H613" s="244"/>
      <c r="I613"/>
      <c r="J613"/>
      <c r="K613"/>
      <c r="L613" s="245"/>
      <c r="N613" s="245"/>
      <c r="O613"/>
      <c r="P613"/>
      <c r="Q613"/>
      <c r="R613" s="245"/>
    </row>
    <row r="614" spans="5:18">
      <c r="E614" s="244"/>
      <c r="F614" s="244"/>
      <c r="G614" s="244"/>
      <c r="H614" s="244"/>
      <c r="I614"/>
      <c r="J614"/>
      <c r="K614"/>
      <c r="L614" s="245"/>
      <c r="N614" s="245"/>
      <c r="O614"/>
      <c r="P614"/>
      <c r="Q614"/>
      <c r="R614" s="245"/>
    </row>
    <row r="615" spans="5:18">
      <c r="E615" s="244"/>
      <c r="F615" s="244"/>
      <c r="G615" s="244"/>
      <c r="H615" s="244"/>
      <c r="I615"/>
      <c r="J615"/>
      <c r="K615"/>
      <c r="L615" s="245"/>
      <c r="N615" s="245"/>
      <c r="O615"/>
      <c r="P615"/>
      <c r="Q615"/>
      <c r="R615" s="245"/>
    </row>
    <row r="616" spans="5:18">
      <c r="E616" s="244"/>
      <c r="F616" s="244"/>
      <c r="G616" s="244"/>
      <c r="H616" s="244"/>
      <c r="I616"/>
      <c r="J616"/>
      <c r="K616"/>
      <c r="L616"/>
      <c r="N616" s="245"/>
      <c r="O616"/>
      <c r="P616"/>
      <c r="Q616"/>
      <c r="R616"/>
    </row>
    <row r="617" spans="5:18">
      <c r="E617" s="244"/>
      <c r="F617" s="244"/>
      <c r="G617" s="244"/>
      <c r="H617" s="244"/>
      <c r="I617"/>
      <c r="J617"/>
      <c r="K617"/>
      <c r="L617" s="245"/>
      <c r="N617" s="245"/>
      <c r="O617"/>
      <c r="P617"/>
      <c r="Q617"/>
      <c r="R617" s="245"/>
    </row>
    <row r="618" spans="5:18">
      <c r="E618" s="244"/>
      <c r="F618" s="244"/>
      <c r="G618" s="244"/>
      <c r="H618" s="244"/>
      <c r="I618"/>
      <c r="J618"/>
      <c r="K618"/>
      <c r="L618" s="245"/>
      <c r="N618" s="245"/>
      <c r="O618"/>
      <c r="P618"/>
      <c r="Q618"/>
      <c r="R618" s="245"/>
    </row>
    <row r="619" spans="5:18">
      <c r="E619" s="244"/>
      <c r="F619" s="244"/>
      <c r="G619" s="244"/>
      <c r="H619" s="244"/>
      <c r="I619"/>
      <c r="J619"/>
      <c r="K619"/>
      <c r="L619"/>
      <c r="N619" s="245"/>
      <c r="O619"/>
      <c r="P619"/>
      <c r="Q619"/>
      <c r="R619"/>
    </row>
    <row r="620" spans="5:18">
      <c r="E620" s="244"/>
      <c r="F620" s="244"/>
      <c r="G620" s="244"/>
      <c r="H620" s="244"/>
      <c r="I620"/>
      <c r="J620"/>
      <c r="K620"/>
      <c r="L620" s="245"/>
      <c r="N620" s="245"/>
      <c r="O620"/>
      <c r="P620"/>
      <c r="Q620"/>
      <c r="R620" s="245"/>
    </row>
    <row r="621" spans="5:18">
      <c r="E621" s="244"/>
      <c r="F621" s="244"/>
      <c r="G621" s="244"/>
      <c r="H621" s="244"/>
      <c r="I621"/>
      <c r="J621"/>
      <c r="K621"/>
      <c r="L621" s="245"/>
      <c r="N621" s="245"/>
      <c r="O621"/>
      <c r="P621"/>
      <c r="Q621"/>
      <c r="R621" s="245"/>
    </row>
    <row r="622" spans="5:18">
      <c r="E622" s="244"/>
      <c r="F622" s="244"/>
      <c r="G622" s="244"/>
      <c r="H622" s="244"/>
      <c r="I622"/>
      <c r="J622"/>
      <c r="K622"/>
      <c r="L622"/>
      <c r="N622" s="245"/>
      <c r="O622"/>
      <c r="P622"/>
      <c r="Q622"/>
      <c r="R622"/>
    </row>
    <row r="623" spans="5:18">
      <c r="E623" s="244"/>
      <c r="F623" s="244"/>
      <c r="G623" s="244"/>
      <c r="H623" s="244"/>
      <c r="I623"/>
      <c r="J623"/>
      <c r="K623"/>
      <c r="L623" s="245"/>
      <c r="N623" s="245"/>
      <c r="O623"/>
      <c r="P623"/>
      <c r="Q623"/>
      <c r="R623" s="245"/>
    </row>
    <row r="624" spans="5:18">
      <c r="E624" s="244"/>
      <c r="F624" s="244"/>
      <c r="G624" s="244"/>
      <c r="H624" s="244"/>
      <c r="I624"/>
      <c r="J624"/>
      <c r="K624"/>
      <c r="L624"/>
      <c r="N624" s="245"/>
      <c r="O624"/>
      <c r="P624"/>
      <c r="Q624"/>
      <c r="R624"/>
    </row>
    <row r="625" spans="5:18">
      <c r="E625" s="244"/>
      <c r="F625" s="244"/>
      <c r="G625" s="244"/>
      <c r="H625" s="244"/>
      <c r="I625"/>
      <c r="J625"/>
      <c r="K625"/>
      <c r="L625" s="245"/>
      <c r="N625" s="245"/>
      <c r="O625"/>
      <c r="P625"/>
      <c r="Q625"/>
      <c r="R625" s="245"/>
    </row>
    <row r="626" spans="5:18">
      <c r="E626" s="244"/>
      <c r="F626" s="244"/>
      <c r="G626" s="244"/>
      <c r="H626" s="244"/>
      <c r="I626"/>
      <c r="J626"/>
      <c r="K626"/>
      <c r="L626"/>
      <c r="N626" s="245"/>
      <c r="O626"/>
      <c r="P626"/>
      <c r="Q626"/>
      <c r="R626"/>
    </row>
    <row r="627" spans="5:18">
      <c r="E627" s="244"/>
      <c r="F627" s="244"/>
      <c r="G627" s="244"/>
      <c r="H627" s="244"/>
      <c r="I627"/>
      <c r="J627"/>
      <c r="K627"/>
      <c r="L627" s="245"/>
      <c r="N627" s="245"/>
      <c r="O627"/>
      <c r="P627"/>
      <c r="Q627"/>
      <c r="R627" s="245"/>
    </row>
    <row r="628" spans="5:18">
      <c r="E628" s="244"/>
      <c r="F628" s="244"/>
      <c r="G628" s="244"/>
      <c r="H628" s="244"/>
      <c r="I628"/>
      <c r="J628"/>
      <c r="K628"/>
      <c r="L628"/>
      <c r="N628" s="245"/>
      <c r="O628"/>
      <c r="P628"/>
      <c r="Q628"/>
      <c r="R628"/>
    </row>
    <row r="629" spans="5:18">
      <c r="E629" s="244"/>
      <c r="F629" s="244"/>
      <c r="G629" s="244"/>
      <c r="H629" s="244"/>
      <c r="I629"/>
      <c r="J629"/>
      <c r="K629"/>
      <c r="L629" s="245"/>
      <c r="N629" s="245"/>
      <c r="O629"/>
      <c r="P629"/>
      <c r="Q629"/>
      <c r="R629" s="245"/>
    </row>
    <row r="630" spans="5:18">
      <c r="E630" s="244"/>
      <c r="F630" s="244"/>
      <c r="G630" s="244"/>
      <c r="H630" s="244"/>
      <c r="I630"/>
      <c r="J630"/>
      <c r="K630"/>
      <c r="L630"/>
      <c r="N630" s="245"/>
      <c r="O630"/>
      <c r="P630"/>
      <c r="Q630"/>
      <c r="R630"/>
    </row>
    <row r="631" spans="5:18">
      <c r="E631" s="244"/>
      <c r="F631" s="244"/>
      <c r="G631" s="244"/>
      <c r="H631" s="244"/>
      <c r="I631"/>
      <c r="J631"/>
      <c r="K631"/>
      <c r="L631"/>
      <c r="N631" s="245"/>
      <c r="O631"/>
      <c r="P631"/>
      <c r="Q631"/>
      <c r="R631"/>
    </row>
    <row r="632" spans="5:18">
      <c r="E632" s="244"/>
      <c r="F632" s="244"/>
      <c r="G632" s="244"/>
      <c r="H632" s="244"/>
      <c r="I632"/>
      <c r="J632"/>
      <c r="K632"/>
      <c r="L632" s="245"/>
      <c r="N632" s="245"/>
      <c r="O632"/>
      <c r="P632"/>
      <c r="Q632"/>
      <c r="R632" s="245"/>
    </row>
    <row r="633" spans="5:18">
      <c r="E633" s="244"/>
      <c r="F633" s="244"/>
      <c r="G633" s="244"/>
      <c r="H633" s="244"/>
      <c r="I633"/>
      <c r="J633"/>
      <c r="K633"/>
      <c r="L633" s="245"/>
      <c r="N633" s="245"/>
      <c r="O633"/>
      <c r="P633"/>
      <c r="Q633"/>
      <c r="R633" s="245"/>
    </row>
    <row r="634" spans="5:18">
      <c r="E634" s="244"/>
      <c r="F634" s="244"/>
      <c r="G634" s="244"/>
      <c r="H634" s="244"/>
      <c r="I634"/>
      <c r="J634"/>
      <c r="K634"/>
      <c r="L634" s="245"/>
      <c r="N634" s="245"/>
      <c r="O634"/>
      <c r="P634"/>
      <c r="Q634"/>
      <c r="R634" s="245"/>
    </row>
    <row r="635" spans="5:18">
      <c r="E635" s="244"/>
      <c r="F635" s="244"/>
      <c r="G635" s="244"/>
      <c r="H635" s="244"/>
      <c r="I635"/>
      <c r="J635"/>
      <c r="K635"/>
      <c r="L635" s="245"/>
      <c r="N635" s="245"/>
      <c r="O635"/>
      <c r="P635"/>
      <c r="Q635"/>
      <c r="R635" s="245"/>
    </row>
    <row r="636" spans="5:18">
      <c r="E636" s="244"/>
      <c r="F636" s="244"/>
      <c r="G636" s="244"/>
      <c r="H636" s="244"/>
      <c r="I636"/>
      <c r="J636"/>
      <c r="K636"/>
      <c r="L636" s="245"/>
      <c r="N636" s="245"/>
      <c r="O636"/>
      <c r="P636"/>
      <c r="Q636"/>
      <c r="R636" s="245"/>
    </row>
    <row r="637" spans="5:18">
      <c r="E637" s="244"/>
      <c r="F637" s="244"/>
      <c r="G637" s="244"/>
      <c r="H637" s="244"/>
      <c r="I637"/>
      <c r="J637"/>
      <c r="K637"/>
      <c r="L637" s="245"/>
      <c r="N637" s="245"/>
      <c r="O637"/>
      <c r="P637"/>
      <c r="Q637"/>
      <c r="R637" s="245"/>
    </row>
    <row r="638" spans="5:18">
      <c r="E638" s="244"/>
      <c r="F638" s="244"/>
      <c r="G638" s="244"/>
      <c r="H638" s="244"/>
      <c r="I638"/>
      <c r="J638"/>
      <c r="K638"/>
      <c r="L638"/>
      <c r="N638" s="245"/>
      <c r="O638"/>
      <c r="P638"/>
      <c r="Q638"/>
      <c r="R638"/>
    </row>
    <row r="639" spans="5:18">
      <c r="E639" s="244"/>
      <c r="F639" s="244"/>
      <c r="G639" s="244"/>
      <c r="H639" s="244"/>
      <c r="I639"/>
      <c r="J639"/>
      <c r="K639"/>
      <c r="L639" s="245"/>
      <c r="N639" s="245"/>
      <c r="O639"/>
      <c r="P639"/>
      <c r="Q639"/>
      <c r="R639" s="245"/>
    </row>
    <row r="640" spans="5:18">
      <c r="E640" s="244"/>
      <c r="F640" s="244"/>
      <c r="G640" s="244"/>
      <c r="H640" s="244"/>
      <c r="I640"/>
      <c r="J640"/>
      <c r="K640"/>
      <c r="L640" s="245"/>
      <c r="N640" s="245"/>
      <c r="O640"/>
      <c r="P640"/>
      <c r="Q640"/>
      <c r="R640" s="245"/>
    </row>
    <row r="641" spans="5:18">
      <c r="E641" s="244"/>
      <c r="F641" s="244"/>
      <c r="G641" s="244"/>
      <c r="H641" s="244"/>
      <c r="I641"/>
      <c r="J641"/>
      <c r="K641"/>
      <c r="L641" s="245"/>
      <c r="N641" s="245"/>
      <c r="O641"/>
      <c r="P641"/>
      <c r="Q641"/>
      <c r="R641" s="245"/>
    </row>
    <row r="642" spans="5:18">
      <c r="E642" s="244"/>
      <c r="F642" s="244"/>
      <c r="G642" s="244"/>
      <c r="H642" s="244"/>
      <c r="I642"/>
      <c r="J642"/>
      <c r="K642"/>
      <c r="L642"/>
      <c r="N642" s="245"/>
      <c r="O642"/>
      <c r="P642"/>
      <c r="Q642"/>
      <c r="R642"/>
    </row>
    <row r="643" spans="5:18">
      <c r="E643" s="244"/>
      <c r="F643" s="244"/>
      <c r="G643" s="244"/>
      <c r="H643" s="244"/>
      <c r="I643"/>
      <c r="J643"/>
      <c r="K643"/>
      <c r="L643" s="245"/>
      <c r="N643" s="245"/>
      <c r="O643"/>
      <c r="P643"/>
      <c r="Q643"/>
      <c r="R643" s="245"/>
    </row>
    <row r="644" spans="5:18">
      <c r="E644" s="244"/>
      <c r="F644" s="244"/>
      <c r="G644" s="244"/>
      <c r="H644" s="244"/>
      <c r="I644"/>
      <c r="J644"/>
      <c r="K644"/>
      <c r="L644" s="245"/>
      <c r="N644" s="245"/>
      <c r="O644"/>
      <c r="P644"/>
      <c r="Q644"/>
      <c r="R644" s="245"/>
    </row>
    <row r="645" spans="5:18">
      <c r="E645" s="244"/>
      <c r="F645" s="244"/>
      <c r="G645" s="244"/>
      <c r="H645" s="244"/>
      <c r="I645"/>
      <c r="J645"/>
      <c r="K645"/>
      <c r="L645" s="245"/>
      <c r="N645" s="245"/>
      <c r="O645"/>
      <c r="P645"/>
      <c r="Q645"/>
      <c r="R645" s="245"/>
    </row>
    <row r="646" spans="5:18">
      <c r="E646" s="244"/>
      <c r="F646" s="244"/>
      <c r="G646" s="244"/>
      <c r="H646" s="244"/>
      <c r="I646"/>
      <c r="J646"/>
      <c r="K646"/>
      <c r="L646" s="245"/>
      <c r="N646" s="245"/>
      <c r="O646"/>
      <c r="P646"/>
      <c r="Q646"/>
      <c r="R646" s="245"/>
    </row>
    <row r="647" spans="5:18">
      <c r="E647" s="244"/>
      <c r="F647" s="244"/>
      <c r="G647" s="244"/>
      <c r="H647" s="244"/>
      <c r="I647"/>
      <c r="J647"/>
      <c r="K647"/>
      <c r="L647"/>
      <c r="N647" s="245"/>
      <c r="O647"/>
      <c r="P647"/>
      <c r="Q647"/>
      <c r="R647"/>
    </row>
    <row r="648" spans="5:18">
      <c r="E648" s="244"/>
      <c r="F648" s="244"/>
      <c r="G648" s="244"/>
      <c r="H648" s="244"/>
      <c r="I648"/>
      <c r="J648"/>
      <c r="K648"/>
      <c r="L648" s="245"/>
      <c r="N648" s="245"/>
      <c r="O648"/>
      <c r="P648"/>
      <c r="Q648"/>
      <c r="R648" s="245"/>
    </row>
    <row r="649" spans="5:18">
      <c r="E649" s="244"/>
      <c r="F649" s="244"/>
      <c r="G649" s="244"/>
      <c r="H649" s="244"/>
      <c r="I649"/>
      <c r="J649"/>
      <c r="K649"/>
      <c r="L649" s="245"/>
      <c r="N649" s="245"/>
      <c r="O649"/>
      <c r="P649"/>
      <c r="Q649"/>
      <c r="R649" s="245"/>
    </row>
    <row r="650" spans="5:18">
      <c r="E650" s="244"/>
      <c r="F650" s="244"/>
      <c r="G650" s="244"/>
      <c r="H650" s="244"/>
      <c r="I650"/>
      <c r="J650"/>
      <c r="K650"/>
      <c r="L650" s="245"/>
      <c r="N650" s="245"/>
      <c r="O650"/>
      <c r="P650"/>
      <c r="Q650"/>
      <c r="R650" s="245"/>
    </row>
    <row r="651" spans="5:18">
      <c r="E651" s="244"/>
      <c r="F651" s="244"/>
      <c r="G651" s="244"/>
      <c r="H651" s="244"/>
      <c r="I651"/>
      <c r="J651"/>
      <c r="K651"/>
      <c r="L651" s="245"/>
      <c r="N651" s="245"/>
      <c r="O651"/>
      <c r="P651"/>
      <c r="Q651"/>
      <c r="R651" s="245"/>
    </row>
    <row r="652" spans="5:18">
      <c r="E652" s="244"/>
      <c r="F652" s="244"/>
      <c r="G652" s="244"/>
      <c r="H652" s="244"/>
      <c r="I652"/>
      <c r="J652"/>
      <c r="K652"/>
      <c r="L652"/>
      <c r="N652" s="245"/>
      <c r="O652"/>
      <c r="P652"/>
      <c r="Q652"/>
      <c r="R652"/>
    </row>
    <row r="653" spans="5:18">
      <c r="E653" s="244"/>
      <c r="F653" s="244"/>
      <c r="G653" s="244"/>
      <c r="H653" s="244"/>
      <c r="I653"/>
      <c r="J653"/>
      <c r="K653"/>
      <c r="L653"/>
      <c r="N653" s="245"/>
      <c r="O653"/>
      <c r="P653"/>
      <c r="Q653"/>
      <c r="R653"/>
    </row>
    <row r="654" spans="5:18">
      <c r="E654" s="244"/>
      <c r="F654" s="244"/>
      <c r="G654" s="244"/>
      <c r="H654" s="244"/>
      <c r="I654"/>
      <c r="J654"/>
      <c r="K654"/>
      <c r="L654" s="245"/>
      <c r="N654" s="245"/>
      <c r="O654"/>
      <c r="P654"/>
      <c r="Q654"/>
      <c r="R654" s="245"/>
    </row>
    <row r="655" spans="5:18">
      <c r="E655" s="244"/>
      <c r="F655" s="244"/>
      <c r="G655" s="244"/>
      <c r="H655" s="244"/>
      <c r="I655"/>
      <c r="J655"/>
      <c r="K655"/>
      <c r="L655" s="245"/>
      <c r="N655" s="245"/>
      <c r="O655"/>
      <c r="P655"/>
      <c r="Q655"/>
      <c r="R655" s="245"/>
    </row>
    <row r="656" spans="5:18">
      <c r="E656" s="244"/>
      <c r="F656" s="244"/>
      <c r="G656" s="244"/>
      <c r="H656" s="244"/>
      <c r="I656"/>
      <c r="J656"/>
      <c r="K656"/>
      <c r="L656" s="245"/>
      <c r="N656" s="245"/>
      <c r="O656"/>
      <c r="P656"/>
      <c r="Q656"/>
      <c r="R656" s="245"/>
    </row>
    <row r="657" spans="5:18">
      <c r="E657" s="244"/>
      <c r="F657" s="244"/>
      <c r="G657" s="244"/>
      <c r="H657" s="244"/>
      <c r="I657"/>
      <c r="J657"/>
      <c r="K657"/>
      <c r="L657" s="245"/>
      <c r="N657" s="245"/>
      <c r="O657"/>
      <c r="P657"/>
      <c r="Q657"/>
      <c r="R657" s="245"/>
    </row>
    <row r="658" spans="5:18">
      <c r="E658" s="244"/>
      <c r="F658" s="244"/>
      <c r="G658" s="244"/>
      <c r="H658" s="244"/>
      <c r="I658"/>
      <c r="J658"/>
      <c r="K658"/>
      <c r="L658" s="245"/>
      <c r="N658" s="245"/>
      <c r="O658"/>
      <c r="P658"/>
      <c r="Q658"/>
      <c r="R658" s="245"/>
    </row>
    <row r="659" spans="5:18">
      <c r="E659" s="244"/>
      <c r="F659" s="244"/>
      <c r="G659" s="244"/>
      <c r="H659" s="244"/>
      <c r="I659"/>
      <c r="J659"/>
      <c r="K659"/>
      <c r="L659"/>
      <c r="N659" s="245"/>
      <c r="O659"/>
      <c r="P659"/>
      <c r="Q659"/>
      <c r="R659"/>
    </row>
    <row r="660" spans="5:18">
      <c r="E660" s="244"/>
      <c r="F660" s="244"/>
      <c r="G660" s="244"/>
      <c r="H660" s="244"/>
      <c r="I660"/>
      <c r="J660"/>
      <c r="K660"/>
      <c r="L660" s="245"/>
      <c r="N660" s="245"/>
      <c r="O660"/>
      <c r="P660"/>
      <c r="Q660"/>
      <c r="R660" s="245"/>
    </row>
    <row r="661" spans="5:18">
      <c r="E661" s="244"/>
      <c r="F661" s="244"/>
      <c r="G661" s="244"/>
      <c r="H661" s="244"/>
      <c r="I661"/>
      <c r="J661"/>
      <c r="K661"/>
      <c r="L661"/>
      <c r="N661" s="245"/>
      <c r="O661"/>
      <c r="P661"/>
      <c r="Q661"/>
      <c r="R661"/>
    </row>
    <row r="662" spans="5:18">
      <c r="E662" s="244"/>
      <c r="F662" s="244"/>
      <c r="G662" s="244"/>
      <c r="H662" s="244"/>
      <c r="I662"/>
      <c r="J662"/>
      <c r="K662"/>
      <c r="L662" s="245"/>
      <c r="N662" s="245"/>
      <c r="O662"/>
      <c r="P662"/>
      <c r="Q662"/>
      <c r="R662" s="245"/>
    </row>
    <row r="663" spans="5:18">
      <c r="E663" s="244"/>
      <c r="F663" s="244"/>
      <c r="G663" s="244"/>
      <c r="H663" s="244"/>
      <c r="I663"/>
      <c r="J663"/>
      <c r="K663"/>
      <c r="L663"/>
      <c r="N663" s="245"/>
      <c r="O663"/>
      <c r="P663"/>
      <c r="Q663"/>
      <c r="R663"/>
    </row>
    <row r="664" spans="5:18">
      <c r="E664" s="244"/>
      <c r="F664" s="244"/>
      <c r="G664" s="244"/>
      <c r="H664" s="244"/>
      <c r="I664"/>
      <c r="J664"/>
      <c r="K664"/>
      <c r="L664" s="245"/>
      <c r="N664" s="245"/>
      <c r="O664"/>
      <c r="P664"/>
      <c r="Q664"/>
      <c r="R664" s="245"/>
    </row>
    <row r="665" spans="5:18">
      <c r="E665" s="244"/>
      <c r="F665" s="244"/>
      <c r="G665" s="244"/>
      <c r="H665" s="244"/>
      <c r="I665"/>
      <c r="J665"/>
      <c r="K665"/>
      <c r="L665" s="245"/>
      <c r="N665" s="245"/>
      <c r="O665"/>
      <c r="P665"/>
      <c r="Q665"/>
      <c r="R665" s="245"/>
    </row>
    <row r="666" spans="5:18">
      <c r="E666" s="244"/>
      <c r="F666" s="244"/>
      <c r="G666" s="244"/>
      <c r="H666" s="244"/>
      <c r="I666"/>
      <c r="J666"/>
      <c r="K666"/>
      <c r="L666" s="245"/>
      <c r="N666" s="245"/>
      <c r="O666"/>
      <c r="P666"/>
      <c r="Q666"/>
      <c r="R666" s="245"/>
    </row>
    <row r="667" spans="5:18">
      <c r="E667" s="244"/>
      <c r="F667" s="244"/>
      <c r="G667" s="244"/>
      <c r="H667" s="244"/>
      <c r="I667"/>
      <c r="J667"/>
      <c r="K667"/>
      <c r="L667"/>
      <c r="N667" s="245"/>
      <c r="O667"/>
      <c r="P667"/>
      <c r="Q667"/>
      <c r="R667"/>
    </row>
    <row r="668" spans="5:18">
      <c r="E668" s="244"/>
      <c r="F668" s="244"/>
      <c r="G668" s="244"/>
      <c r="H668" s="244"/>
      <c r="I668"/>
      <c r="J668"/>
      <c r="K668"/>
      <c r="L668" s="245"/>
      <c r="N668" s="245"/>
      <c r="O668"/>
      <c r="P668"/>
      <c r="Q668"/>
      <c r="R668" s="245"/>
    </row>
    <row r="669" spans="5:18">
      <c r="E669" s="244"/>
      <c r="F669" s="244"/>
      <c r="G669" s="244"/>
      <c r="H669" s="244"/>
      <c r="I669"/>
      <c r="J669"/>
      <c r="K669"/>
      <c r="L669"/>
      <c r="N669" s="245"/>
      <c r="O669"/>
      <c r="P669"/>
      <c r="Q669"/>
      <c r="R669"/>
    </row>
    <row r="670" spans="5:18">
      <c r="E670" s="244"/>
      <c r="F670" s="244"/>
      <c r="G670" s="244"/>
      <c r="H670" s="244"/>
      <c r="I670"/>
      <c r="J670"/>
      <c r="K670"/>
      <c r="L670" s="245"/>
      <c r="N670" s="245"/>
      <c r="O670"/>
      <c r="P670"/>
      <c r="Q670"/>
      <c r="R670" s="245"/>
    </row>
    <row r="671" spans="5:18">
      <c r="E671" s="244"/>
      <c r="F671" s="244"/>
      <c r="G671" s="244"/>
      <c r="H671" s="244"/>
      <c r="I671"/>
      <c r="J671"/>
      <c r="K671"/>
      <c r="L671" s="245"/>
      <c r="N671" s="245"/>
      <c r="O671"/>
      <c r="P671"/>
      <c r="Q671"/>
      <c r="R671" s="245"/>
    </row>
    <row r="672" spans="5:18">
      <c r="E672" s="244"/>
      <c r="F672" s="244"/>
      <c r="G672" s="244"/>
      <c r="H672" s="244"/>
      <c r="I672"/>
      <c r="J672"/>
      <c r="K672"/>
      <c r="L672"/>
      <c r="N672" s="245"/>
      <c r="O672"/>
      <c r="P672"/>
      <c r="Q672"/>
      <c r="R672"/>
    </row>
    <row r="673" spans="5:18">
      <c r="E673" s="244"/>
      <c r="F673" s="244"/>
      <c r="G673" s="244"/>
      <c r="H673" s="244"/>
      <c r="I673"/>
      <c r="J673"/>
      <c r="K673"/>
      <c r="L673"/>
      <c r="N673" s="245"/>
      <c r="O673"/>
      <c r="P673"/>
      <c r="Q673"/>
      <c r="R673"/>
    </row>
    <row r="674" spans="5:18">
      <c r="E674" s="244"/>
      <c r="F674" s="244"/>
      <c r="G674" s="244"/>
      <c r="H674" s="244"/>
      <c r="I674"/>
      <c r="J674"/>
      <c r="K674"/>
      <c r="L674"/>
      <c r="N674" s="245"/>
      <c r="O674"/>
      <c r="P674"/>
      <c r="Q674"/>
      <c r="R674"/>
    </row>
    <row r="675" spans="5:18">
      <c r="E675" s="244"/>
      <c r="F675" s="244"/>
      <c r="G675" s="244"/>
      <c r="H675" s="244"/>
      <c r="I675"/>
      <c r="J675"/>
      <c r="K675"/>
      <c r="L675"/>
      <c r="N675" s="245"/>
      <c r="O675"/>
      <c r="P675"/>
      <c r="Q675"/>
      <c r="R675"/>
    </row>
    <row r="676" spans="5:18">
      <c r="E676" s="244"/>
      <c r="F676" s="244"/>
      <c r="G676" s="244"/>
      <c r="H676" s="244"/>
      <c r="I676"/>
      <c r="J676"/>
      <c r="K676"/>
      <c r="L676"/>
      <c r="N676" s="245"/>
      <c r="O676"/>
      <c r="P676"/>
      <c r="Q676"/>
      <c r="R676"/>
    </row>
    <row r="677" spans="5:18">
      <c r="E677" s="244"/>
      <c r="F677" s="244"/>
      <c r="G677" s="244"/>
      <c r="H677" s="244"/>
      <c r="I677"/>
      <c r="J677"/>
      <c r="K677"/>
      <c r="L677"/>
      <c r="N677" s="245"/>
      <c r="O677"/>
      <c r="P677"/>
      <c r="Q677"/>
      <c r="R677"/>
    </row>
    <row r="678" spans="5:18">
      <c r="E678" s="244"/>
      <c r="F678" s="244"/>
      <c r="G678" s="244"/>
      <c r="H678" s="244"/>
      <c r="I678"/>
      <c r="J678"/>
      <c r="K678"/>
      <c r="L678"/>
      <c r="N678" s="245"/>
      <c r="O678"/>
      <c r="P678"/>
      <c r="Q678"/>
      <c r="R678"/>
    </row>
    <row r="679" spans="5:18">
      <c r="E679" s="244"/>
      <c r="F679" s="244"/>
      <c r="G679" s="244"/>
      <c r="H679" s="244"/>
      <c r="I679"/>
      <c r="J679"/>
      <c r="K679"/>
      <c r="L679"/>
      <c r="N679" s="245"/>
      <c r="O679"/>
      <c r="P679"/>
      <c r="Q679"/>
      <c r="R679"/>
    </row>
    <row r="680" spans="5:18">
      <c r="E680" s="244"/>
      <c r="F680" s="244"/>
      <c r="G680" s="244"/>
      <c r="H680" s="244"/>
      <c r="I680"/>
      <c r="J680"/>
      <c r="K680"/>
      <c r="L680"/>
      <c r="N680" s="245"/>
      <c r="O680"/>
      <c r="P680"/>
      <c r="Q680"/>
      <c r="R680"/>
    </row>
    <row r="681" spans="5:18">
      <c r="E681" s="244"/>
      <c r="F681" s="244"/>
      <c r="G681" s="244"/>
      <c r="H681" s="244"/>
      <c r="I681"/>
      <c r="J681"/>
      <c r="K681"/>
      <c r="L681"/>
      <c r="N681" s="245"/>
      <c r="O681"/>
      <c r="P681"/>
      <c r="Q681"/>
      <c r="R681"/>
    </row>
    <row r="682" spans="5:18">
      <c r="E682" s="244"/>
      <c r="F682" s="244"/>
      <c r="G682" s="244"/>
      <c r="H682" s="244"/>
      <c r="I682"/>
      <c r="J682"/>
      <c r="K682"/>
      <c r="L682"/>
      <c r="N682" s="245"/>
      <c r="O682"/>
      <c r="P682"/>
      <c r="Q682"/>
      <c r="R682"/>
    </row>
    <row r="683" spans="5:18">
      <c r="E683" s="244"/>
      <c r="F683" s="244"/>
      <c r="G683" s="244"/>
      <c r="H683" s="244"/>
      <c r="I683"/>
      <c r="J683"/>
      <c r="K683"/>
      <c r="L683"/>
      <c r="N683" s="245"/>
      <c r="O683"/>
      <c r="P683"/>
      <c r="Q683"/>
      <c r="R683"/>
    </row>
    <row r="684" spans="5:18">
      <c r="E684" s="244"/>
      <c r="F684" s="244"/>
      <c r="G684" s="244"/>
      <c r="H684" s="244"/>
      <c r="I684"/>
      <c r="J684"/>
      <c r="K684"/>
      <c r="L684"/>
      <c r="N684" s="245"/>
      <c r="O684"/>
      <c r="P684"/>
      <c r="Q684"/>
      <c r="R684"/>
    </row>
    <row r="685" spans="5:18">
      <c r="E685" s="244"/>
      <c r="F685" s="244"/>
      <c r="G685" s="244"/>
      <c r="H685" s="244"/>
      <c r="I685"/>
      <c r="J685"/>
      <c r="K685"/>
      <c r="L685"/>
      <c r="N685" s="245"/>
      <c r="O685"/>
      <c r="P685"/>
      <c r="Q685"/>
      <c r="R685"/>
    </row>
    <row r="686" spans="5:18">
      <c r="E686" s="244"/>
      <c r="F686" s="244"/>
      <c r="G686" s="244"/>
      <c r="H686" s="244"/>
      <c r="I686"/>
      <c r="J686"/>
      <c r="K686"/>
      <c r="L686"/>
      <c r="N686" s="245"/>
      <c r="O686"/>
      <c r="P686"/>
      <c r="Q686"/>
      <c r="R686"/>
    </row>
    <row r="687" spans="5:18">
      <c r="E687" s="244"/>
      <c r="F687" s="244"/>
      <c r="G687" s="244"/>
      <c r="H687" s="244"/>
      <c r="I687"/>
      <c r="J687"/>
      <c r="K687"/>
      <c r="L687"/>
      <c r="N687" s="245"/>
      <c r="O687"/>
      <c r="P687"/>
      <c r="Q687"/>
      <c r="R687"/>
    </row>
    <row r="688" spans="5:18">
      <c r="E688" s="244"/>
      <c r="F688" s="244"/>
      <c r="G688" s="244"/>
      <c r="H688" s="244"/>
      <c r="I688"/>
      <c r="J688"/>
      <c r="K688"/>
      <c r="L688"/>
      <c r="N688" s="245"/>
      <c r="O688"/>
      <c r="P688"/>
      <c r="Q688"/>
      <c r="R688"/>
    </row>
    <row r="689" spans="5:18">
      <c r="E689" s="244"/>
      <c r="F689" s="244"/>
      <c r="G689" s="244"/>
      <c r="H689" s="244"/>
      <c r="I689"/>
      <c r="J689"/>
      <c r="K689"/>
      <c r="L689"/>
      <c r="N689" s="245"/>
      <c r="O689"/>
      <c r="P689"/>
      <c r="Q689"/>
      <c r="R689"/>
    </row>
    <row r="690" spans="5:18">
      <c r="E690" s="244"/>
      <c r="F690" s="244"/>
      <c r="G690" s="244"/>
      <c r="H690" s="244"/>
      <c r="I690"/>
      <c r="J690"/>
      <c r="K690"/>
      <c r="L690"/>
      <c r="N690" s="245"/>
      <c r="O690"/>
      <c r="P690"/>
      <c r="Q690"/>
      <c r="R690"/>
    </row>
    <row r="691" spans="5:18">
      <c r="E691" s="244"/>
      <c r="F691" s="244"/>
      <c r="G691" s="244"/>
      <c r="H691" s="244"/>
      <c r="I691"/>
      <c r="J691"/>
      <c r="K691"/>
      <c r="L691"/>
      <c r="N691" s="245"/>
      <c r="O691"/>
      <c r="P691"/>
      <c r="Q691"/>
      <c r="R691"/>
    </row>
    <row r="692" spans="5:18">
      <c r="E692" s="244"/>
      <c r="F692" s="244"/>
      <c r="G692" s="244"/>
      <c r="H692" s="244"/>
      <c r="I692"/>
      <c r="J692"/>
      <c r="K692"/>
      <c r="L692"/>
      <c r="N692" s="245"/>
      <c r="O692"/>
      <c r="P692"/>
      <c r="Q692"/>
      <c r="R692"/>
    </row>
    <row r="693" spans="5:18">
      <c r="E693" s="244"/>
      <c r="F693" s="244"/>
      <c r="G693" s="244"/>
      <c r="H693" s="244"/>
      <c r="I693"/>
      <c r="J693"/>
      <c r="K693"/>
      <c r="L693"/>
      <c r="N693" s="245"/>
      <c r="O693"/>
      <c r="P693"/>
      <c r="Q693"/>
      <c r="R693"/>
    </row>
    <row r="694" spans="5:18">
      <c r="E694" s="244"/>
      <c r="F694" s="244"/>
      <c r="G694" s="244"/>
      <c r="H694" s="244"/>
      <c r="I694"/>
      <c r="J694"/>
      <c r="K694"/>
      <c r="L694"/>
      <c r="N694" s="245"/>
      <c r="O694"/>
      <c r="P694"/>
      <c r="Q694"/>
      <c r="R694"/>
    </row>
    <row r="695" spans="5:18">
      <c r="E695" s="244"/>
      <c r="F695" s="244"/>
      <c r="G695" s="244"/>
      <c r="H695" s="244"/>
      <c r="I695"/>
      <c r="J695"/>
      <c r="K695"/>
      <c r="L695"/>
      <c r="N695" s="245"/>
      <c r="O695"/>
      <c r="P695"/>
      <c r="Q695"/>
      <c r="R695"/>
    </row>
    <row r="696" spans="5:18">
      <c r="E696" s="244"/>
      <c r="F696" s="244"/>
      <c r="G696" s="244"/>
      <c r="H696" s="244"/>
      <c r="I696"/>
      <c r="J696"/>
      <c r="K696"/>
      <c r="L696"/>
      <c r="N696" s="245"/>
      <c r="O696"/>
      <c r="P696"/>
      <c r="Q696"/>
      <c r="R696"/>
    </row>
    <row r="697" spans="5:18">
      <c r="E697" s="244"/>
      <c r="F697" s="244"/>
      <c r="G697" s="244"/>
      <c r="H697" s="244"/>
      <c r="I697"/>
      <c r="J697"/>
      <c r="K697"/>
      <c r="L697"/>
      <c r="N697" s="245"/>
      <c r="O697"/>
      <c r="P697"/>
      <c r="Q697"/>
      <c r="R697"/>
    </row>
    <row r="698" spans="5:18">
      <c r="E698" s="244"/>
      <c r="F698" s="244"/>
      <c r="G698" s="244"/>
      <c r="H698" s="244"/>
      <c r="I698"/>
      <c r="J698"/>
      <c r="K698"/>
      <c r="L698"/>
      <c r="N698" s="245"/>
      <c r="O698"/>
      <c r="P698"/>
      <c r="Q698"/>
      <c r="R698"/>
    </row>
    <row r="699" spans="5:18">
      <c r="E699" s="244"/>
      <c r="F699" s="244"/>
      <c r="G699" s="244"/>
      <c r="H699" s="244"/>
      <c r="I699"/>
      <c r="J699"/>
      <c r="K699"/>
      <c r="L699"/>
      <c r="N699" s="245"/>
      <c r="O699"/>
      <c r="P699"/>
      <c r="Q699"/>
      <c r="R699"/>
    </row>
    <row r="700" spans="5:18">
      <c r="E700" s="244"/>
      <c r="F700" s="244"/>
      <c r="G700" s="244"/>
      <c r="H700" s="244"/>
      <c r="I700"/>
      <c r="J700"/>
      <c r="K700"/>
      <c r="L700"/>
      <c r="N700" s="245"/>
      <c r="O700"/>
      <c r="P700"/>
      <c r="Q700"/>
      <c r="R700"/>
    </row>
    <row r="701" spans="5:18">
      <c r="E701" s="244"/>
      <c r="F701" s="244"/>
      <c r="G701" s="244"/>
      <c r="H701" s="244"/>
      <c r="I701"/>
      <c r="J701"/>
      <c r="K701"/>
      <c r="L701"/>
      <c r="N701" s="245"/>
      <c r="O701"/>
      <c r="P701"/>
      <c r="Q701"/>
      <c r="R701"/>
    </row>
    <row r="702" spans="5:18">
      <c r="E702" s="244"/>
      <c r="F702" s="244"/>
      <c r="G702" s="244"/>
      <c r="H702" s="244"/>
      <c r="I702"/>
      <c r="J702"/>
      <c r="K702"/>
      <c r="L702"/>
      <c r="N702" s="245"/>
      <c r="O702"/>
      <c r="P702"/>
      <c r="Q702"/>
      <c r="R702"/>
    </row>
    <row r="703" spans="5:18">
      <c r="E703" s="244"/>
      <c r="F703" s="244"/>
      <c r="G703" s="244"/>
      <c r="H703" s="244"/>
      <c r="I703"/>
      <c r="J703"/>
      <c r="K703"/>
      <c r="L703"/>
      <c r="N703" s="245"/>
      <c r="O703"/>
      <c r="P703"/>
      <c r="Q703"/>
      <c r="R703"/>
    </row>
    <row r="704" spans="5:18">
      <c r="E704" s="244"/>
      <c r="F704" s="244"/>
      <c r="G704" s="244"/>
      <c r="H704" s="244"/>
      <c r="I704"/>
      <c r="J704"/>
      <c r="K704"/>
      <c r="L704"/>
      <c r="N704" s="245"/>
      <c r="O704"/>
      <c r="P704"/>
      <c r="Q704"/>
      <c r="R704"/>
    </row>
    <row r="705" spans="5:18">
      <c r="E705" s="244"/>
      <c r="F705" s="244"/>
      <c r="G705" s="244"/>
      <c r="H705" s="244"/>
      <c r="I705"/>
      <c r="J705"/>
      <c r="K705"/>
      <c r="L705"/>
      <c r="N705" s="245"/>
      <c r="O705"/>
      <c r="P705"/>
      <c r="Q705"/>
      <c r="R705"/>
    </row>
    <row r="706" spans="5:18">
      <c r="E706" s="244"/>
      <c r="F706" s="244"/>
      <c r="G706" s="244"/>
      <c r="H706" s="244"/>
      <c r="I706"/>
      <c r="J706"/>
      <c r="K706"/>
      <c r="L706"/>
      <c r="N706" s="245"/>
      <c r="O706"/>
      <c r="P706"/>
      <c r="Q706"/>
      <c r="R706"/>
    </row>
    <row r="707" spans="5:18">
      <c r="E707" s="244"/>
      <c r="F707" s="244"/>
      <c r="G707" s="244"/>
      <c r="H707" s="244"/>
      <c r="I707"/>
      <c r="J707"/>
      <c r="K707"/>
      <c r="L707"/>
      <c r="N707" s="245"/>
      <c r="O707"/>
      <c r="P707"/>
      <c r="Q707"/>
      <c r="R707"/>
    </row>
    <row r="708" spans="5:18">
      <c r="E708" s="244"/>
      <c r="F708" s="244"/>
      <c r="G708" s="244"/>
      <c r="H708" s="244"/>
      <c r="I708"/>
      <c r="J708"/>
      <c r="K708"/>
      <c r="L708"/>
      <c r="N708" s="245"/>
      <c r="O708"/>
      <c r="P708"/>
      <c r="Q708"/>
      <c r="R708"/>
    </row>
    <row r="709" spans="5:18">
      <c r="E709" s="244"/>
      <c r="F709" s="244"/>
      <c r="G709" s="244"/>
      <c r="H709" s="244"/>
      <c r="I709"/>
      <c r="J709"/>
      <c r="K709"/>
      <c r="L709"/>
      <c r="N709" s="245"/>
      <c r="O709"/>
      <c r="P709"/>
      <c r="Q709"/>
      <c r="R709"/>
    </row>
    <row r="710" spans="5:18">
      <c r="E710" s="244"/>
      <c r="F710" s="244"/>
      <c r="G710" s="244"/>
      <c r="H710" s="244"/>
      <c r="I710"/>
      <c r="J710"/>
      <c r="K710"/>
      <c r="L710"/>
      <c r="N710" s="245"/>
      <c r="O710"/>
      <c r="P710"/>
      <c r="Q710"/>
      <c r="R710"/>
    </row>
    <row r="711" spans="5:18">
      <c r="E711" s="244"/>
      <c r="F711" s="244"/>
      <c r="G711" s="244"/>
      <c r="H711" s="244"/>
      <c r="I711"/>
      <c r="J711"/>
      <c r="K711"/>
      <c r="L711"/>
      <c r="N711" s="245"/>
      <c r="O711"/>
      <c r="P711"/>
      <c r="Q711"/>
      <c r="R711"/>
    </row>
    <row r="712" spans="5:18">
      <c r="E712" s="244"/>
      <c r="F712" s="244"/>
      <c r="G712" s="244"/>
      <c r="H712" s="244"/>
      <c r="I712"/>
      <c r="J712"/>
      <c r="K712"/>
      <c r="L712"/>
      <c r="N712" s="245"/>
      <c r="O712"/>
      <c r="P712"/>
      <c r="Q712"/>
      <c r="R712"/>
    </row>
    <row r="713" spans="5:18">
      <c r="E713" s="244"/>
      <c r="F713" s="244"/>
      <c r="G713" s="244"/>
      <c r="H713" s="244"/>
      <c r="I713"/>
      <c r="J713"/>
      <c r="K713"/>
      <c r="L713"/>
      <c r="N713" s="245"/>
      <c r="O713"/>
      <c r="P713"/>
      <c r="Q713"/>
      <c r="R713"/>
    </row>
    <row r="714" spans="5:18">
      <c r="E714" s="244"/>
      <c r="F714" s="244"/>
      <c r="G714" s="244"/>
      <c r="H714" s="244"/>
      <c r="I714"/>
      <c r="J714"/>
      <c r="K714"/>
      <c r="L714"/>
      <c r="N714" s="245"/>
      <c r="O714"/>
      <c r="P714"/>
      <c r="Q714"/>
      <c r="R714"/>
    </row>
    <row r="715" spans="5:18">
      <c r="E715" s="244"/>
      <c r="F715" s="244"/>
      <c r="G715" s="244"/>
      <c r="H715" s="244"/>
      <c r="I715"/>
      <c r="J715"/>
      <c r="K715"/>
      <c r="L715"/>
      <c r="N715" s="245"/>
      <c r="O715"/>
      <c r="P715"/>
      <c r="Q715"/>
      <c r="R715"/>
    </row>
    <row r="716" spans="5:18">
      <c r="E716" s="244"/>
      <c r="F716" s="244"/>
      <c r="G716" s="244"/>
      <c r="H716" s="244"/>
      <c r="I716"/>
      <c r="J716"/>
      <c r="K716"/>
      <c r="L716"/>
      <c r="N716" s="245"/>
      <c r="O716"/>
      <c r="P716"/>
      <c r="Q716"/>
      <c r="R716"/>
    </row>
    <row r="717" spans="5:18">
      <c r="E717" s="244"/>
      <c r="F717" s="244"/>
      <c r="G717" s="244"/>
      <c r="H717" s="244"/>
      <c r="I717"/>
      <c r="J717"/>
      <c r="K717"/>
      <c r="L717"/>
      <c r="N717" s="245"/>
      <c r="O717"/>
      <c r="P717"/>
      <c r="Q717"/>
      <c r="R717"/>
    </row>
    <row r="718" spans="5:18">
      <c r="E718" s="244"/>
      <c r="F718" s="244"/>
      <c r="G718" s="244"/>
      <c r="H718" s="244"/>
      <c r="I718"/>
      <c r="J718"/>
      <c r="K718"/>
      <c r="L718"/>
      <c r="N718" s="245"/>
      <c r="O718"/>
      <c r="P718"/>
      <c r="Q718"/>
      <c r="R718"/>
    </row>
    <row r="719" spans="5:18">
      <c r="E719" s="244"/>
      <c r="F719" s="244"/>
      <c r="G719" s="244"/>
      <c r="H719" s="244"/>
      <c r="I719"/>
      <c r="J719"/>
      <c r="K719"/>
      <c r="L719"/>
      <c r="N719" s="245"/>
      <c r="O719"/>
      <c r="P719"/>
      <c r="Q719"/>
      <c r="R719"/>
    </row>
    <row r="720" spans="5:18">
      <c r="E720" s="244"/>
      <c r="F720" s="244"/>
      <c r="G720" s="244"/>
      <c r="H720" s="244"/>
      <c r="I720"/>
      <c r="J720"/>
      <c r="K720"/>
      <c r="L720"/>
      <c r="N720" s="245"/>
      <c r="O720"/>
      <c r="P720"/>
      <c r="Q720"/>
      <c r="R720"/>
    </row>
    <row r="721" spans="5:18">
      <c r="E721" s="244"/>
      <c r="F721" s="244"/>
      <c r="G721" s="244"/>
      <c r="H721" s="244"/>
      <c r="I721"/>
      <c r="J721"/>
      <c r="K721"/>
      <c r="L721"/>
      <c r="N721" s="245"/>
      <c r="O721"/>
      <c r="P721"/>
      <c r="Q721"/>
      <c r="R721"/>
    </row>
    <row r="722" spans="5:18">
      <c r="E722" s="244"/>
      <c r="F722" s="244"/>
      <c r="G722" s="244"/>
      <c r="H722" s="244"/>
      <c r="I722"/>
      <c r="J722"/>
      <c r="K722"/>
      <c r="L722"/>
      <c r="N722" s="245"/>
      <c r="O722"/>
      <c r="P722"/>
      <c r="Q722"/>
      <c r="R722"/>
    </row>
    <row r="723" spans="5:18">
      <c r="E723" s="244"/>
      <c r="F723" s="244"/>
      <c r="G723" s="244"/>
      <c r="H723" s="244"/>
      <c r="I723"/>
      <c r="J723"/>
      <c r="K723"/>
      <c r="L723"/>
      <c r="N723" s="245"/>
      <c r="O723"/>
      <c r="P723"/>
      <c r="Q723"/>
      <c r="R723"/>
    </row>
    <row r="724" spans="5:18">
      <c r="E724" s="244"/>
      <c r="F724" s="244"/>
      <c r="G724" s="244"/>
      <c r="H724" s="244"/>
      <c r="I724"/>
      <c r="J724"/>
      <c r="K724"/>
      <c r="L724"/>
      <c r="N724" s="245"/>
      <c r="O724"/>
      <c r="P724"/>
      <c r="Q724"/>
      <c r="R724"/>
    </row>
    <row r="725" spans="5:18">
      <c r="E725" s="244"/>
      <c r="F725" s="244"/>
      <c r="G725" s="244"/>
      <c r="H725" s="244"/>
      <c r="I725"/>
      <c r="J725"/>
      <c r="K725"/>
      <c r="L725"/>
      <c r="N725" s="245"/>
      <c r="O725"/>
      <c r="P725"/>
      <c r="Q725"/>
      <c r="R725"/>
    </row>
    <row r="726" spans="5:18">
      <c r="E726" s="244"/>
      <c r="F726" s="244"/>
      <c r="G726" s="244"/>
      <c r="H726" s="244"/>
      <c r="I726"/>
      <c r="J726"/>
      <c r="K726"/>
      <c r="L726"/>
      <c r="N726" s="245"/>
      <c r="O726"/>
      <c r="P726"/>
      <c r="Q726"/>
      <c r="R726"/>
    </row>
    <row r="727" spans="5:18">
      <c r="E727" s="244"/>
      <c r="F727" s="244"/>
      <c r="G727" s="244"/>
      <c r="H727" s="244"/>
      <c r="I727"/>
      <c r="J727"/>
      <c r="K727"/>
      <c r="L727"/>
      <c r="N727" s="245"/>
      <c r="O727"/>
      <c r="P727"/>
      <c r="Q727"/>
      <c r="R727"/>
    </row>
    <row r="728" spans="5:18">
      <c r="E728" s="244"/>
      <c r="F728" s="244"/>
      <c r="G728" s="244"/>
      <c r="H728" s="244"/>
      <c r="I728"/>
      <c r="J728"/>
      <c r="K728"/>
      <c r="L728"/>
      <c r="N728" s="245"/>
      <c r="O728"/>
      <c r="P728"/>
      <c r="Q728"/>
      <c r="R728"/>
    </row>
    <row r="729" spans="5:18">
      <c r="E729" s="244"/>
      <c r="F729" s="244"/>
      <c r="G729" s="244"/>
      <c r="H729" s="244"/>
      <c r="I729"/>
      <c r="J729"/>
      <c r="K729"/>
      <c r="L729"/>
      <c r="N729" s="245"/>
      <c r="O729"/>
      <c r="P729"/>
      <c r="Q729"/>
      <c r="R729"/>
    </row>
    <row r="730" spans="5:18">
      <c r="E730" s="244"/>
      <c r="F730" s="244"/>
      <c r="G730" s="244"/>
      <c r="H730" s="244"/>
      <c r="I730"/>
      <c r="J730"/>
      <c r="K730"/>
      <c r="L730"/>
      <c r="N730" s="245"/>
      <c r="O730"/>
      <c r="P730"/>
      <c r="Q730"/>
      <c r="R730"/>
    </row>
    <row r="731" spans="5:18">
      <c r="E731" s="244"/>
      <c r="F731" s="244"/>
      <c r="G731" s="244"/>
      <c r="H731" s="244"/>
      <c r="I731"/>
      <c r="J731"/>
      <c r="K731"/>
      <c r="L731"/>
      <c r="N731" s="245"/>
      <c r="O731"/>
      <c r="P731"/>
      <c r="Q731"/>
      <c r="R731"/>
    </row>
    <row r="732" spans="5:18">
      <c r="E732" s="244"/>
      <c r="F732" s="244"/>
      <c r="G732" s="244"/>
      <c r="H732" s="244"/>
      <c r="I732"/>
      <c r="J732"/>
      <c r="K732"/>
      <c r="L732"/>
      <c r="N732" s="245"/>
      <c r="O732"/>
      <c r="P732"/>
      <c r="Q732"/>
      <c r="R732"/>
    </row>
    <row r="733" spans="5:18">
      <c r="E733" s="244"/>
      <c r="F733" s="244"/>
      <c r="G733" s="244"/>
      <c r="H733" s="244"/>
      <c r="I733"/>
      <c r="J733"/>
      <c r="K733"/>
      <c r="L733"/>
      <c r="N733" s="245"/>
      <c r="O733"/>
      <c r="P733"/>
      <c r="Q733"/>
      <c r="R733"/>
    </row>
    <row r="734" spans="5:18">
      <c r="E734" s="244"/>
      <c r="F734" s="244"/>
      <c r="G734" s="244"/>
      <c r="H734" s="244"/>
      <c r="I734"/>
      <c r="J734"/>
      <c r="K734"/>
      <c r="L734"/>
      <c r="N734" s="245"/>
      <c r="O734"/>
      <c r="P734"/>
      <c r="Q734"/>
      <c r="R734"/>
    </row>
    <row r="735" spans="5:18">
      <c r="E735" s="244"/>
      <c r="F735" s="244"/>
      <c r="G735" s="244"/>
      <c r="H735" s="244"/>
      <c r="I735"/>
      <c r="J735"/>
      <c r="K735"/>
      <c r="L735"/>
      <c r="N735" s="245"/>
      <c r="O735"/>
      <c r="P735"/>
      <c r="Q735"/>
      <c r="R735"/>
    </row>
    <row r="736" spans="5:18">
      <c r="E736" s="244"/>
      <c r="F736" s="244"/>
      <c r="G736" s="244"/>
      <c r="H736" s="244"/>
      <c r="I736"/>
      <c r="J736"/>
      <c r="K736"/>
      <c r="L736"/>
      <c r="N736" s="245"/>
      <c r="O736"/>
      <c r="P736"/>
      <c r="Q736"/>
      <c r="R736"/>
    </row>
    <row r="737" spans="5:18">
      <c r="E737" s="244"/>
      <c r="F737" s="244"/>
      <c r="G737" s="244"/>
      <c r="H737" s="244"/>
      <c r="I737"/>
      <c r="J737"/>
      <c r="K737"/>
      <c r="L737"/>
      <c r="N737" s="245"/>
      <c r="O737"/>
      <c r="P737"/>
      <c r="Q737"/>
      <c r="R737"/>
    </row>
    <row r="738" spans="5:18">
      <c r="E738" s="244"/>
      <c r="F738" s="244"/>
      <c r="G738" s="244"/>
      <c r="H738" s="244"/>
      <c r="I738"/>
      <c r="J738"/>
      <c r="K738"/>
      <c r="L738"/>
      <c r="N738" s="245"/>
      <c r="O738"/>
      <c r="P738"/>
      <c r="Q738"/>
      <c r="R738"/>
    </row>
    <row r="739" spans="5:18">
      <c r="E739" s="244"/>
      <c r="F739" s="244"/>
      <c r="G739" s="244"/>
      <c r="H739" s="244"/>
      <c r="I739"/>
      <c r="J739"/>
      <c r="K739"/>
      <c r="L739"/>
      <c r="N739" s="245"/>
      <c r="O739"/>
      <c r="P739"/>
      <c r="Q739"/>
      <c r="R739"/>
    </row>
    <row r="740" spans="5:18">
      <c r="E740" s="244"/>
      <c r="F740" s="244"/>
      <c r="G740" s="244"/>
      <c r="H740" s="244"/>
      <c r="I740"/>
      <c r="J740"/>
      <c r="K740"/>
      <c r="L740"/>
      <c r="N740" s="245"/>
      <c r="O740"/>
      <c r="P740"/>
      <c r="Q740"/>
      <c r="R740"/>
    </row>
    <row r="741" spans="5:18">
      <c r="E741" s="244"/>
      <c r="F741" s="244"/>
      <c r="G741" s="244"/>
      <c r="H741" s="244"/>
      <c r="I741"/>
      <c r="J741"/>
      <c r="K741"/>
      <c r="L741"/>
      <c r="N741" s="245"/>
      <c r="O741"/>
      <c r="P741"/>
      <c r="Q741"/>
      <c r="R741"/>
    </row>
    <row r="742" spans="5:18">
      <c r="E742" s="244"/>
      <c r="F742" s="244"/>
      <c r="G742" s="244"/>
      <c r="H742" s="244"/>
      <c r="I742"/>
      <c r="J742"/>
      <c r="K742"/>
      <c r="L742"/>
      <c r="N742" s="245"/>
      <c r="O742"/>
      <c r="P742"/>
      <c r="Q742"/>
      <c r="R742"/>
    </row>
    <row r="743" spans="5:18">
      <c r="E743" s="244"/>
      <c r="F743" s="244"/>
      <c r="G743" s="244"/>
      <c r="H743" s="244"/>
      <c r="I743"/>
      <c r="J743"/>
      <c r="K743"/>
      <c r="L743"/>
      <c r="N743" s="245"/>
      <c r="O743"/>
      <c r="P743"/>
      <c r="Q743"/>
      <c r="R743"/>
    </row>
    <row r="744" spans="5:18">
      <c r="E744" s="244"/>
      <c r="F744" s="244"/>
      <c r="G744" s="244"/>
      <c r="H744" s="244"/>
      <c r="I744"/>
      <c r="J744"/>
      <c r="K744"/>
      <c r="L744"/>
      <c r="N744" s="245"/>
      <c r="O744"/>
      <c r="P744"/>
      <c r="Q744"/>
      <c r="R744"/>
    </row>
    <row r="745" spans="5:18">
      <c r="E745" s="244"/>
      <c r="F745" s="244"/>
      <c r="G745" s="244"/>
      <c r="H745" s="244"/>
      <c r="I745"/>
      <c r="J745"/>
      <c r="K745"/>
      <c r="L745"/>
      <c r="N745" s="245"/>
      <c r="O745"/>
      <c r="P745"/>
      <c r="Q745"/>
      <c r="R745"/>
    </row>
    <row r="746" spans="5:18">
      <c r="E746" s="244"/>
      <c r="F746" s="244"/>
      <c r="G746" s="244"/>
      <c r="H746" s="244"/>
      <c r="I746"/>
      <c r="J746"/>
      <c r="K746"/>
      <c r="L746"/>
      <c r="N746" s="245"/>
      <c r="O746"/>
      <c r="P746"/>
      <c r="Q746"/>
      <c r="R746"/>
    </row>
    <row r="747" spans="5:18">
      <c r="E747" s="244"/>
      <c r="F747" s="244"/>
      <c r="G747" s="244"/>
      <c r="H747" s="244"/>
      <c r="I747"/>
      <c r="J747"/>
      <c r="K747"/>
      <c r="L747"/>
      <c r="N747" s="245"/>
      <c r="O747"/>
      <c r="P747"/>
      <c r="Q747"/>
      <c r="R747"/>
    </row>
    <row r="748" spans="5:18">
      <c r="E748" s="244"/>
      <c r="F748" s="244"/>
      <c r="G748" s="244"/>
      <c r="H748" s="244"/>
      <c r="I748"/>
      <c r="J748"/>
      <c r="K748"/>
      <c r="L748"/>
      <c r="N748" s="245"/>
      <c r="O748"/>
      <c r="P748"/>
      <c r="Q748"/>
      <c r="R748"/>
    </row>
    <row r="749" spans="5:18">
      <c r="E749" s="244"/>
      <c r="F749" s="244"/>
      <c r="G749" s="244"/>
      <c r="H749" s="244"/>
      <c r="I749"/>
      <c r="J749"/>
      <c r="K749"/>
      <c r="L749"/>
      <c r="N749" s="245"/>
      <c r="O749"/>
      <c r="P749"/>
      <c r="Q749"/>
      <c r="R749"/>
    </row>
    <row r="750" spans="5:18">
      <c r="E750" s="244"/>
      <c r="F750" s="244"/>
      <c r="G750" s="244"/>
      <c r="H750" s="244"/>
      <c r="I750"/>
      <c r="J750"/>
      <c r="K750"/>
      <c r="L750"/>
      <c r="N750" s="245"/>
      <c r="O750"/>
      <c r="P750"/>
      <c r="Q750"/>
      <c r="R750"/>
    </row>
    <row r="751" spans="5:18">
      <c r="E751" s="244"/>
      <c r="F751" s="244"/>
      <c r="G751" s="244"/>
      <c r="H751" s="244"/>
      <c r="I751"/>
      <c r="J751"/>
      <c r="K751"/>
      <c r="L751"/>
      <c r="N751" s="245"/>
      <c r="O751"/>
      <c r="P751"/>
      <c r="Q751"/>
      <c r="R751"/>
    </row>
    <row r="752" spans="5:18">
      <c r="E752" s="244"/>
      <c r="F752" s="244"/>
      <c r="G752" s="244"/>
      <c r="H752" s="244"/>
      <c r="I752"/>
      <c r="J752"/>
      <c r="K752"/>
      <c r="L752"/>
      <c r="N752" s="245"/>
      <c r="O752"/>
      <c r="P752"/>
      <c r="Q752"/>
      <c r="R752"/>
    </row>
    <row r="753" spans="5:18">
      <c r="E753" s="244"/>
      <c r="F753" s="244"/>
      <c r="G753" s="244"/>
      <c r="H753" s="244"/>
      <c r="I753"/>
      <c r="J753"/>
      <c r="K753"/>
      <c r="L753"/>
      <c r="N753" s="245"/>
      <c r="O753"/>
      <c r="P753"/>
      <c r="Q753"/>
      <c r="R753"/>
    </row>
    <row r="754" spans="5:18">
      <c r="E754" s="244"/>
      <c r="F754" s="244"/>
      <c r="G754" s="244"/>
      <c r="H754" s="244"/>
      <c r="I754"/>
      <c r="J754"/>
      <c r="K754"/>
      <c r="L754"/>
      <c r="N754" s="245"/>
      <c r="O754"/>
      <c r="P754"/>
      <c r="Q754"/>
      <c r="R754"/>
    </row>
    <row r="755" spans="5:18">
      <c r="E755" s="244"/>
      <c r="F755" s="244"/>
      <c r="G755" s="244"/>
      <c r="H755" s="244"/>
      <c r="I755"/>
      <c r="J755"/>
      <c r="K755"/>
      <c r="L755"/>
      <c r="N755" s="245"/>
      <c r="O755"/>
      <c r="P755"/>
      <c r="Q755"/>
      <c r="R755"/>
    </row>
    <row r="756" spans="5:18">
      <c r="E756" s="244"/>
      <c r="F756" s="244"/>
      <c r="G756" s="244"/>
      <c r="H756" s="244"/>
      <c r="I756"/>
      <c r="J756"/>
      <c r="K756"/>
      <c r="L756"/>
      <c r="N756" s="245"/>
      <c r="O756"/>
      <c r="P756"/>
      <c r="Q756"/>
      <c r="R756"/>
    </row>
    <row r="757" spans="5:18">
      <c r="E757" s="244"/>
      <c r="F757" s="244"/>
      <c r="G757" s="244"/>
      <c r="H757" s="244"/>
      <c r="I757"/>
      <c r="J757"/>
      <c r="K757"/>
      <c r="L757"/>
      <c r="N757" s="245"/>
      <c r="O757"/>
      <c r="P757"/>
      <c r="Q757"/>
      <c r="R757"/>
    </row>
    <row r="758" spans="5:18">
      <c r="E758" s="244"/>
      <c r="F758" s="244"/>
      <c r="G758" s="244"/>
      <c r="H758" s="244"/>
      <c r="I758"/>
      <c r="J758"/>
      <c r="K758"/>
      <c r="L758"/>
      <c r="N758" s="245"/>
      <c r="O758"/>
      <c r="P758"/>
      <c r="Q758"/>
      <c r="R758"/>
    </row>
    <row r="759" spans="5:18">
      <c r="E759" s="244"/>
      <c r="F759" s="244"/>
      <c r="G759" s="244"/>
      <c r="H759" s="244"/>
      <c r="I759"/>
      <c r="J759"/>
      <c r="K759"/>
      <c r="L759"/>
      <c r="N759" s="245"/>
      <c r="O759"/>
      <c r="P759"/>
      <c r="Q759"/>
      <c r="R759"/>
    </row>
    <row r="760" spans="5:18">
      <c r="E760" s="244"/>
      <c r="F760" s="244"/>
      <c r="G760" s="244"/>
      <c r="H760" s="244"/>
      <c r="I760"/>
      <c r="J760"/>
      <c r="K760"/>
      <c r="L760"/>
      <c r="N760" s="245"/>
      <c r="O760"/>
      <c r="P760"/>
      <c r="Q760"/>
      <c r="R760"/>
    </row>
    <row r="761" spans="5:18">
      <c r="E761" s="244"/>
      <c r="F761" s="244"/>
      <c r="G761" s="244"/>
      <c r="H761" s="244"/>
      <c r="I761"/>
      <c r="J761"/>
      <c r="K761"/>
      <c r="L761"/>
      <c r="N761" s="245"/>
      <c r="O761"/>
      <c r="P761"/>
      <c r="Q761"/>
      <c r="R761"/>
    </row>
    <row r="762" spans="5:18">
      <c r="E762" s="244"/>
      <c r="F762" s="244"/>
      <c r="G762" s="244"/>
      <c r="H762" s="244"/>
      <c r="I762"/>
      <c r="J762"/>
      <c r="K762"/>
      <c r="L762"/>
      <c r="N762" s="245"/>
      <c r="O762"/>
      <c r="P762"/>
      <c r="Q762"/>
      <c r="R762"/>
    </row>
    <row r="763" spans="5:18">
      <c r="E763" s="244"/>
      <c r="F763" s="244"/>
      <c r="G763" s="244"/>
      <c r="H763" s="244"/>
      <c r="I763"/>
      <c r="J763"/>
      <c r="K763"/>
      <c r="L763"/>
      <c r="N763" s="245"/>
      <c r="O763"/>
      <c r="P763"/>
      <c r="Q763"/>
      <c r="R763"/>
    </row>
    <row r="764" spans="5:18">
      <c r="E764" s="244"/>
      <c r="F764" s="244"/>
      <c r="G764" s="244"/>
      <c r="H764" s="244"/>
      <c r="I764"/>
      <c r="J764"/>
      <c r="K764"/>
      <c r="L764"/>
      <c r="N764" s="245"/>
      <c r="O764"/>
      <c r="P764"/>
      <c r="Q764"/>
      <c r="R764"/>
    </row>
    <row r="765" spans="5:18">
      <c r="E765" s="244"/>
      <c r="F765" s="244"/>
      <c r="G765" s="244"/>
      <c r="H765" s="244"/>
      <c r="I765"/>
      <c r="J765"/>
      <c r="K765"/>
      <c r="L765"/>
      <c r="N765" s="245"/>
      <c r="O765"/>
      <c r="P765"/>
      <c r="Q765"/>
      <c r="R765"/>
    </row>
    <row r="766" spans="5:18">
      <c r="E766" s="244"/>
      <c r="F766" s="244"/>
      <c r="G766" s="244"/>
      <c r="H766" s="244"/>
      <c r="I766"/>
      <c r="J766"/>
      <c r="K766"/>
      <c r="L766"/>
      <c r="N766" s="245"/>
      <c r="O766"/>
      <c r="P766"/>
      <c r="Q766"/>
      <c r="R766"/>
    </row>
    <row r="767" spans="5:18">
      <c r="E767" s="244"/>
      <c r="F767" s="244"/>
      <c r="G767" s="244"/>
      <c r="H767" s="244"/>
      <c r="I767"/>
      <c r="J767"/>
      <c r="K767"/>
      <c r="L767"/>
      <c r="N767" s="245"/>
      <c r="O767"/>
      <c r="P767"/>
      <c r="Q767"/>
      <c r="R767"/>
    </row>
    <row r="768" spans="5:18">
      <c r="E768" s="244"/>
      <c r="F768" s="244"/>
      <c r="G768" s="244"/>
      <c r="H768" s="244"/>
      <c r="I768"/>
      <c r="J768"/>
      <c r="K768"/>
      <c r="L768"/>
      <c r="N768" s="245"/>
      <c r="O768"/>
      <c r="P768"/>
      <c r="Q768"/>
      <c r="R768"/>
    </row>
    <row r="769" spans="5:18">
      <c r="E769" s="244"/>
      <c r="F769" s="244"/>
      <c r="G769" s="244"/>
      <c r="H769" s="244"/>
      <c r="I769"/>
      <c r="J769"/>
      <c r="K769"/>
      <c r="L769"/>
      <c r="N769" s="245"/>
      <c r="O769"/>
      <c r="P769"/>
      <c r="Q769"/>
      <c r="R769"/>
    </row>
    <row r="770" spans="5:18">
      <c r="E770" s="244"/>
      <c r="F770" s="244"/>
      <c r="G770" s="244"/>
      <c r="H770" s="244"/>
      <c r="I770"/>
      <c r="J770"/>
      <c r="K770"/>
      <c r="L770"/>
      <c r="N770" s="245"/>
      <c r="O770"/>
      <c r="P770"/>
      <c r="Q770"/>
      <c r="R770"/>
    </row>
    <row r="771" spans="5:18">
      <c r="E771" s="244"/>
      <c r="F771" s="244"/>
      <c r="G771" s="244"/>
      <c r="H771" s="244"/>
      <c r="I771"/>
      <c r="J771"/>
      <c r="K771"/>
      <c r="L771"/>
      <c r="N771" s="245"/>
      <c r="O771"/>
      <c r="P771"/>
      <c r="Q771"/>
      <c r="R771"/>
    </row>
    <row r="772" spans="5:18">
      <c r="E772" s="244"/>
      <c r="F772" s="244"/>
      <c r="G772" s="244"/>
      <c r="H772" s="244"/>
      <c r="I772"/>
      <c r="J772"/>
      <c r="K772"/>
      <c r="L772"/>
      <c r="N772" s="245"/>
      <c r="O772"/>
      <c r="P772"/>
      <c r="Q772"/>
      <c r="R772"/>
    </row>
    <row r="773" spans="5:18">
      <c r="E773" s="244"/>
      <c r="F773" s="244"/>
      <c r="G773" s="244"/>
      <c r="H773" s="244"/>
      <c r="I773"/>
      <c r="J773"/>
      <c r="K773"/>
      <c r="L773"/>
      <c r="N773" s="245"/>
      <c r="O773"/>
      <c r="P773"/>
      <c r="Q773"/>
      <c r="R773"/>
    </row>
    <row r="774" spans="5:18">
      <c r="E774" s="244"/>
      <c r="F774" s="244"/>
      <c r="G774" s="244"/>
      <c r="H774" s="244"/>
      <c r="I774"/>
      <c r="J774"/>
      <c r="K774"/>
      <c r="L774"/>
      <c r="N774" s="245"/>
      <c r="O774"/>
      <c r="P774"/>
      <c r="Q774"/>
      <c r="R774"/>
    </row>
    <row r="775" spans="5:18">
      <c r="E775" s="244"/>
      <c r="F775" s="244"/>
      <c r="G775" s="244"/>
      <c r="H775" s="244"/>
      <c r="I775"/>
      <c r="J775"/>
      <c r="K775"/>
      <c r="L775"/>
      <c r="N775" s="245"/>
      <c r="O775"/>
      <c r="P775"/>
      <c r="Q775"/>
      <c r="R775"/>
    </row>
    <row r="776" spans="5:18">
      <c r="E776" s="244"/>
      <c r="F776" s="244"/>
      <c r="G776" s="244"/>
      <c r="H776" s="244"/>
      <c r="I776"/>
      <c r="J776"/>
      <c r="K776"/>
      <c r="L776"/>
      <c r="N776" s="245"/>
      <c r="O776"/>
      <c r="P776"/>
      <c r="Q776"/>
      <c r="R776"/>
    </row>
    <row r="777" spans="5:18">
      <c r="E777" s="244"/>
      <c r="F777" s="244"/>
      <c r="G777" s="244"/>
      <c r="H777" s="244"/>
      <c r="I777"/>
      <c r="J777"/>
      <c r="K777"/>
      <c r="L777"/>
      <c r="N777" s="245"/>
      <c r="O777"/>
      <c r="P777"/>
      <c r="Q777"/>
      <c r="R777"/>
    </row>
    <row r="778" spans="5:18">
      <c r="E778" s="244"/>
      <c r="F778" s="244"/>
      <c r="G778" s="244"/>
      <c r="H778" s="244"/>
      <c r="I778"/>
      <c r="J778"/>
      <c r="K778"/>
      <c r="L778"/>
      <c r="N778" s="245"/>
      <c r="O778"/>
      <c r="P778"/>
      <c r="Q778"/>
      <c r="R778"/>
    </row>
    <row r="779" spans="5:18">
      <c r="E779" s="244"/>
      <c r="F779" s="244"/>
      <c r="G779" s="244"/>
      <c r="H779" s="244"/>
      <c r="I779"/>
      <c r="J779"/>
      <c r="K779"/>
      <c r="L779"/>
      <c r="N779" s="245"/>
      <c r="O779"/>
      <c r="P779"/>
      <c r="Q779"/>
      <c r="R779"/>
    </row>
    <row r="780" spans="5:18">
      <c r="E780" s="244"/>
      <c r="F780" s="244"/>
      <c r="G780" s="244"/>
      <c r="H780" s="244"/>
      <c r="I780"/>
      <c r="J780"/>
      <c r="K780"/>
      <c r="L780"/>
      <c r="N780" s="245"/>
      <c r="O780"/>
      <c r="P780"/>
      <c r="Q780"/>
      <c r="R780"/>
    </row>
    <row r="781" spans="5:18">
      <c r="E781" s="244"/>
      <c r="F781" s="244"/>
      <c r="G781" s="244"/>
      <c r="H781" s="244"/>
      <c r="I781"/>
      <c r="J781"/>
      <c r="K781"/>
      <c r="L781"/>
      <c r="N781" s="245"/>
      <c r="O781"/>
      <c r="P781"/>
      <c r="Q781"/>
      <c r="R781"/>
    </row>
    <row r="782" spans="5:18">
      <c r="E782" s="244"/>
      <c r="F782" s="244"/>
      <c r="G782" s="244"/>
      <c r="H782" s="244"/>
      <c r="I782"/>
      <c r="J782"/>
      <c r="K782"/>
      <c r="L782"/>
      <c r="N782" s="245"/>
      <c r="O782"/>
      <c r="P782"/>
      <c r="Q782"/>
      <c r="R782"/>
    </row>
    <row r="783" spans="5:18">
      <c r="E783" s="244"/>
      <c r="F783" s="244"/>
      <c r="G783" s="244"/>
      <c r="H783" s="244"/>
      <c r="I783"/>
      <c r="J783"/>
      <c r="K783"/>
      <c r="L783"/>
      <c r="N783" s="245"/>
      <c r="O783"/>
      <c r="P783"/>
      <c r="Q783"/>
      <c r="R783"/>
    </row>
    <row r="784" spans="5:18">
      <c r="E784" s="244"/>
      <c r="F784" s="244"/>
      <c r="G784" s="244"/>
      <c r="H784" s="244"/>
      <c r="I784"/>
      <c r="J784"/>
      <c r="K784"/>
      <c r="L784"/>
      <c r="N784" s="245"/>
      <c r="O784"/>
      <c r="P784"/>
      <c r="Q784"/>
      <c r="R784"/>
    </row>
    <row r="785" spans="5:18">
      <c r="E785" s="244"/>
      <c r="F785" s="244"/>
      <c r="G785" s="244"/>
      <c r="H785" s="244"/>
      <c r="I785"/>
      <c r="J785"/>
      <c r="K785"/>
      <c r="L785"/>
      <c r="N785" s="245"/>
      <c r="O785"/>
      <c r="P785"/>
      <c r="Q785"/>
      <c r="R785"/>
    </row>
    <row r="786" spans="5:18">
      <c r="E786" s="244"/>
      <c r="F786" s="244"/>
      <c r="G786" s="244"/>
      <c r="H786" s="244"/>
      <c r="I786"/>
      <c r="J786"/>
      <c r="K786"/>
      <c r="L786"/>
      <c r="N786" s="245"/>
      <c r="O786"/>
      <c r="P786"/>
      <c r="Q786"/>
      <c r="R786"/>
    </row>
    <row r="787" spans="5:18">
      <c r="E787" s="244"/>
      <c r="F787" s="244"/>
      <c r="G787" s="244"/>
      <c r="H787" s="244"/>
      <c r="I787"/>
      <c r="J787"/>
      <c r="K787"/>
      <c r="L787"/>
      <c r="N787" s="245"/>
      <c r="O787"/>
      <c r="P787"/>
      <c r="Q787"/>
      <c r="R787"/>
    </row>
    <row r="788" spans="5:18">
      <c r="E788" s="244"/>
      <c r="F788" s="244"/>
      <c r="G788" s="244"/>
      <c r="H788" s="244"/>
      <c r="I788"/>
      <c r="J788"/>
      <c r="K788"/>
      <c r="L788"/>
      <c r="N788" s="245"/>
      <c r="O788"/>
      <c r="P788"/>
      <c r="Q788"/>
      <c r="R788"/>
    </row>
    <row r="789" spans="5:18">
      <c r="E789" s="244"/>
      <c r="F789" s="244"/>
      <c r="G789" s="244"/>
      <c r="H789" s="244"/>
      <c r="I789"/>
      <c r="J789"/>
      <c r="K789"/>
      <c r="L789"/>
      <c r="N789" s="245"/>
      <c r="O789"/>
      <c r="P789"/>
      <c r="Q789"/>
      <c r="R789"/>
    </row>
    <row r="790" spans="5:18">
      <c r="E790" s="244"/>
      <c r="F790" s="244"/>
      <c r="G790" s="244"/>
      <c r="H790" s="244"/>
      <c r="I790"/>
      <c r="J790"/>
      <c r="K790"/>
      <c r="L790"/>
      <c r="N790" s="245"/>
      <c r="O790"/>
      <c r="P790"/>
      <c r="Q790"/>
      <c r="R790"/>
    </row>
    <row r="791" spans="5:18">
      <c r="E791" s="244"/>
      <c r="F791" s="244"/>
      <c r="G791" s="244"/>
      <c r="H791" s="244"/>
      <c r="I791"/>
      <c r="J791"/>
      <c r="K791"/>
      <c r="L791"/>
      <c r="N791" s="245"/>
      <c r="O791"/>
      <c r="P791"/>
      <c r="Q791"/>
      <c r="R791"/>
    </row>
    <row r="792" spans="5:18">
      <c r="E792" s="244"/>
      <c r="F792" s="244"/>
      <c r="G792" s="244"/>
      <c r="H792" s="244"/>
      <c r="I792"/>
      <c r="J792"/>
      <c r="K792"/>
      <c r="L792"/>
      <c r="N792" s="245"/>
      <c r="O792"/>
      <c r="P792"/>
      <c r="Q792"/>
      <c r="R792"/>
    </row>
    <row r="793" spans="5:18">
      <c r="E793" s="244"/>
      <c r="F793" s="244"/>
      <c r="G793" s="244"/>
      <c r="H793" s="244"/>
      <c r="I793"/>
      <c r="J793"/>
      <c r="K793"/>
      <c r="L793"/>
      <c r="N793" s="245"/>
      <c r="O793"/>
      <c r="P793"/>
      <c r="Q793"/>
      <c r="R793"/>
    </row>
    <row r="794" spans="5:18">
      <c r="E794" s="244"/>
      <c r="F794" s="244"/>
      <c r="G794" s="244"/>
      <c r="H794" s="244"/>
      <c r="I794"/>
      <c r="J794"/>
      <c r="K794"/>
      <c r="L794"/>
      <c r="N794" s="245"/>
      <c r="O794"/>
      <c r="P794"/>
      <c r="Q794"/>
      <c r="R794"/>
    </row>
    <row r="795" spans="5:18">
      <c r="E795" s="244"/>
      <c r="F795" s="244"/>
      <c r="G795" s="244"/>
      <c r="H795" s="244"/>
      <c r="I795"/>
      <c r="J795"/>
      <c r="K795"/>
      <c r="L795"/>
      <c r="N795" s="245"/>
      <c r="O795"/>
      <c r="P795"/>
      <c r="Q795"/>
      <c r="R795"/>
    </row>
    <row r="796" spans="5:18">
      <c r="E796" s="244"/>
      <c r="F796" s="244"/>
      <c r="G796" s="244"/>
      <c r="H796" s="244"/>
      <c r="I796"/>
      <c r="J796"/>
      <c r="K796"/>
      <c r="L796"/>
      <c r="N796" s="245"/>
      <c r="O796"/>
      <c r="P796"/>
      <c r="Q796"/>
      <c r="R796"/>
    </row>
    <row r="797" spans="5:18">
      <c r="E797" s="244"/>
      <c r="F797" s="244"/>
      <c r="G797" s="244"/>
      <c r="H797" s="244"/>
      <c r="I797"/>
      <c r="J797"/>
      <c r="K797"/>
      <c r="L797"/>
      <c r="N797" s="245"/>
      <c r="O797"/>
      <c r="P797"/>
      <c r="Q797"/>
      <c r="R797"/>
    </row>
    <row r="798" spans="5:18">
      <c r="E798" s="244"/>
      <c r="F798" s="244"/>
      <c r="G798" s="244"/>
      <c r="H798" s="244"/>
      <c r="I798"/>
      <c r="J798"/>
      <c r="K798"/>
      <c r="L798"/>
      <c r="N798" s="245"/>
      <c r="O798"/>
      <c r="P798"/>
      <c r="Q798"/>
      <c r="R798"/>
    </row>
    <row r="799" spans="5:18">
      <c r="E799" s="244"/>
      <c r="F799" s="244"/>
      <c r="G799" s="244"/>
      <c r="H799" s="244"/>
      <c r="I799"/>
      <c r="J799"/>
      <c r="K799"/>
      <c r="L799"/>
      <c r="N799" s="245"/>
      <c r="O799"/>
      <c r="P799"/>
      <c r="Q799"/>
      <c r="R799"/>
    </row>
    <row r="800" spans="5:18">
      <c r="E800" s="244"/>
      <c r="F800" s="244"/>
      <c r="G800" s="244"/>
      <c r="H800" s="244"/>
      <c r="I800"/>
      <c r="J800"/>
      <c r="K800"/>
      <c r="L800"/>
      <c r="N800" s="245"/>
      <c r="O800"/>
      <c r="P800"/>
      <c r="Q800"/>
      <c r="R800"/>
    </row>
    <row r="801" spans="5:18">
      <c r="E801" s="244"/>
      <c r="F801" s="244"/>
      <c r="G801" s="244"/>
      <c r="H801" s="244"/>
      <c r="I801"/>
      <c r="J801"/>
      <c r="K801"/>
      <c r="L801"/>
      <c r="N801" s="245"/>
      <c r="O801"/>
      <c r="P801"/>
      <c r="Q801"/>
      <c r="R801"/>
    </row>
    <row r="802" spans="5:18">
      <c r="E802" s="244"/>
      <c r="F802" s="244"/>
      <c r="G802" s="244"/>
      <c r="H802" s="244"/>
      <c r="I802"/>
      <c r="J802"/>
      <c r="K802"/>
      <c r="L802"/>
      <c r="N802" s="245"/>
      <c r="O802"/>
      <c r="P802"/>
      <c r="Q802"/>
      <c r="R802"/>
    </row>
    <row r="803" spans="5:18">
      <c r="E803" s="244"/>
      <c r="F803" s="244"/>
      <c r="G803" s="244"/>
      <c r="H803" s="244"/>
      <c r="I803"/>
      <c r="J803"/>
      <c r="K803"/>
      <c r="L803"/>
      <c r="N803" s="245"/>
      <c r="O803"/>
      <c r="P803"/>
      <c r="Q803"/>
      <c r="R803"/>
    </row>
    <row r="804" spans="5:18">
      <c r="E804" s="244"/>
      <c r="F804" s="244"/>
      <c r="G804" s="244"/>
      <c r="H804" s="244"/>
      <c r="I804"/>
      <c r="J804"/>
      <c r="K804"/>
      <c r="L804"/>
      <c r="N804" s="245"/>
      <c r="O804"/>
      <c r="P804"/>
      <c r="Q804"/>
      <c r="R804"/>
    </row>
    <row r="805" spans="5:18">
      <c r="E805" s="244"/>
      <c r="F805" s="244"/>
      <c r="G805" s="244"/>
      <c r="H805" s="244"/>
      <c r="I805"/>
      <c r="J805"/>
      <c r="K805"/>
      <c r="L805"/>
      <c r="N805" s="245"/>
      <c r="O805"/>
      <c r="P805"/>
      <c r="Q805"/>
      <c r="R805"/>
    </row>
    <row r="806" spans="5:18">
      <c r="E806" s="244"/>
      <c r="F806" s="244"/>
      <c r="G806" s="244"/>
      <c r="H806" s="244"/>
      <c r="I806"/>
      <c r="J806"/>
      <c r="K806"/>
      <c r="L806"/>
      <c r="N806" s="245"/>
      <c r="O806"/>
      <c r="P806"/>
      <c r="Q806"/>
      <c r="R806"/>
    </row>
    <row r="807" spans="5:18">
      <c r="E807" s="244"/>
      <c r="F807" s="244"/>
      <c r="G807" s="244"/>
      <c r="H807" s="244"/>
      <c r="I807"/>
      <c r="J807"/>
      <c r="K807"/>
      <c r="L807"/>
      <c r="N807" s="245"/>
      <c r="O807"/>
      <c r="P807"/>
      <c r="Q807"/>
      <c r="R807"/>
    </row>
    <row r="808" spans="5:18">
      <c r="E808" s="244"/>
      <c r="F808" s="244"/>
      <c r="G808" s="244"/>
      <c r="H808" s="244"/>
      <c r="I808"/>
      <c r="J808"/>
      <c r="K808"/>
      <c r="L808"/>
      <c r="N808" s="245"/>
      <c r="O808"/>
      <c r="P808"/>
      <c r="Q808"/>
      <c r="R808"/>
    </row>
    <row r="809" spans="5:18">
      <c r="E809" s="244"/>
      <c r="F809" s="244"/>
      <c r="G809" s="244"/>
      <c r="H809" s="244"/>
      <c r="I809"/>
      <c r="J809"/>
      <c r="K809"/>
      <c r="L809"/>
      <c r="N809" s="245"/>
      <c r="O809"/>
      <c r="P809"/>
      <c r="Q809"/>
      <c r="R809"/>
    </row>
    <row r="810" spans="5:18">
      <c r="E810" s="244"/>
      <c r="F810" s="244"/>
      <c r="G810" s="244"/>
      <c r="H810" s="244"/>
      <c r="I810"/>
      <c r="J810"/>
      <c r="K810"/>
      <c r="L810"/>
      <c r="N810" s="245"/>
      <c r="O810"/>
      <c r="P810"/>
      <c r="Q810"/>
      <c r="R810"/>
    </row>
    <row r="811" spans="5:18">
      <c r="E811" s="244"/>
      <c r="F811" s="244"/>
      <c r="G811" s="244"/>
      <c r="H811" s="244"/>
      <c r="I811"/>
      <c r="J811"/>
      <c r="K811"/>
      <c r="L811"/>
      <c r="N811" s="245"/>
      <c r="O811"/>
      <c r="P811"/>
      <c r="Q811"/>
      <c r="R811"/>
    </row>
    <row r="812" spans="5:18">
      <c r="E812" s="244"/>
      <c r="F812" s="244"/>
      <c r="G812" s="244"/>
      <c r="H812" s="244"/>
      <c r="I812"/>
      <c r="J812"/>
      <c r="K812"/>
      <c r="L812"/>
      <c r="N812" s="245"/>
      <c r="O812"/>
      <c r="P812"/>
      <c r="Q812"/>
      <c r="R812"/>
    </row>
    <row r="813" spans="5:18">
      <c r="E813" s="244"/>
      <c r="F813" s="244"/>
      <c r="G813" s="244"/>
      <c r="H813" s="244"/>
      <c r="I813"/>
      <c r="J813"/>
      <c r="K813"/>
      <c r="L813"/>
      <c r="N813" s="245"/>
      <c r="O813"/>
      <c r="P813"/>
      <c r="Q813"/>
      <c r="R813"/>
    </row>
    <row r="814" spans="5:18">
      <c r="E814" s="244"/>
      <c r="F814" s="244"/>
      <c r="G814" s="244"/>
      <c r="H814" s="244"/>
      <c r="I814"/>
      <c r="J814"/>
      <c r="K814"/>
      <c r="L814"/>
      <c r="N814" s="245"/>
      <c r="O814"/>
      <c r="P814"/>
      <c r="Q814"/>
      <c r="R814"/>
    </row>
    <row r="815" spans="5:18">
      <c r="E815" s="244"/>
      <c r="F815" s="244"/>
      <c r="G815" s="244"/>
      <c r="H815" s="244"/>
      <c r="I815"/>
      <c r="J815"/>
      <c r="K815"/>
      <c r="L815"/>
      <c r="N815" s="245"/>
      <c r="O815"/>
      <c r="P815"/>
      <c r="Q815"/>
      <c r="R815"/>
    </row>
    <row r="816" spans="5:18">
      <c r="E816" s="244"/>
      <c r="F816" s="244"/>
      <c r="G816" s="244"/>
      <c r="H816" s="244"/>
      <c r="I816"/>
      <c r="J816"/>
      <c r="K816"/>
      <c r="L816"/>
      <c r="N816" s="245"/>
      <c r="O816"/>
      <c r="P816"/>
      <c r="Q816"/>
      <c r="R816"/>
    </row>
    <row r="817" spans="5:18">
      <c r="E817" s="244"/>
      <c r="F817" s="244"/>
      <c r="G817" s="244"/>
      <c r="H817" s="244"/>
      <c r="I817"/>
      <c r="J817"/>
      <c r="K817"/>
      <c r="L817"/>
      <c r="N817" s="245"/>
      <c r="O817"/>
      <c r="P817"/>
      <c r="Q817"/>
      <c r="R817"/>
    </row>
    <row r="818" spans="5:18">
      <c r="E818" s="244"/>
      <c r="F818" s="244"/>
      <c r="G818" s="244"/>
      <c r="H818" s="244"/>
      <c r="I818"/>
      <c r="J818"/>
      <c r="K818"/>
      <c r="L818"/>
      <c r="N818" s="245"/>
      <c r="O818"/>
      <c r="P818"/>
      <c r="Q818"/>
      <c r="R818"/>
    </row>
    <row r="819" spans="5:18">
      <c r="E819" s="244"/>
      <c r="F819" s="244"/>
      <c r="G819" s="244"/>
      <c r="H819" s="244"/>
      <c r="I819"/>
      <c r="J819"/>
      <c r="K819"/>
      <c r="L819"/>
      <c r="N819" s="245"/>
      <c r="O819"/>
      <c r="P819"/>
      <c r="Q819"/>
      <c r="R819"/>
    </row>
    <row r="820" spans="5:18">
      <c r="E820" s="244"/>
      <c r="F820" s="244"/>
      <c r="G820" s="244"/>
      <c r="H820" s="244"/>
      <c r="I820"/>
      <c r="J820"/>
      <c r="K820"/>
      <c r="L820"/>
      <c r="N820" s="245"/>
      <c r="O820"/>
      <c r="P820"/>
      <c r="Q820"/>
      <c r="R820"/>
    </row>
    <row r="821" spans="5:18">
      <c r="E821" s="244"/>
      <c r="F821" s="244"/>
      <c r="G821" s="244"/>
      <c r="H821" s="244"/>
      <c r="I821"/>
      <c r="J821"/>
      <c r="K821"/>
      <c r="L821"/>
      <c r="N821" s="245"/>
      <c r="O821"/>
      <c r="P821"/>
      <c r="Q821"/>
      <c r="R821"/>
    </row>
    <row r="822" spans="5:18">
      <c r="E822" s="244"/>
      <c r="F822" s="244"/>
      <c r="G822" s="244"/>
      <c r="H822" s="244"/>
      <c r="I822"/>
      <c r="J822"/>
      <c r="K822"/>
      <c r="L822"/>
      <c r="N822" s="245"/>
      <c r="O822"/>
      <c r="P822"/>
      <c r="Q822"/>
      <c r="R822"/>
    </row>
    <row r="823" spans="5:18">
      <c r="E823" s="244"/>
      <c r="F823" s="244"/>
      <c r="G823" s="244"/>
      <c r="H823" s="244"/>
      <c r="I823"/>
      <c r="J823"/>
      <c r="K823"/>
      <c r="L823"/>
      <c r="N823" s="245"/>
      <c r="O823"/>
      <c r="P823"/>
      <c r="Q823"/>
      <c r="R823"/>
    </row>
    <row r="824" spans="5:18">
      <c r="E824" s="244"/>
      <c r="F824" s="244"/>
      <c r="G824" s="244"/>
      <c r="H824" s="244"/>
      <c r="I824"/>
      <c r="J824"/>
      <c r="K824"/>
      <c r="L824"/>
      <c r="N824" s="245"/>
      <c r="O824"/>
      <c r="P824"/>
      <c r="Q824"/>
      <c r="R824"/>
    </row>
    <row r="825" spans="5:18">
      <c r="E825" s="244"/>
      <c r="F825" s="244"/>
      <c r="G825" s="244"/>
      <c r="H825" s="244"/>
      <c r="I825"/>
      <c r="J825"/>
      <c r="K825"/>
      <c r="L825"/>
      <c r="N825" s="245"/>
      <c r="O825"/>
      <c r="P825"/>
      <c r="Q825"/>
      <c r="R825"/>
    </row>
    <row r="826" spans="5:18">
      <c r="E826" s="244"/>
      <c r="F826" s="244"/>
      <c r="G826" s="244"/>
      <c r="H826" s="244"/>
      <c r="I826"/>
      <c r="J826"/>
      <c r="K826"/>
      <c r="L826"/>
      <c r="N826" s="245"/>
      <c r="O826"/>
      <c r="P826"/>
      <c r="Q826"/>
      <c r="R826"/>
    </row>
    <row r="827" spans="5:18">
      <c r="E827" s="244"/>
      <c r="F827" s="244"/>
      <c r="G827" s="244"/>
      <c r="H827" s="244"/>
      <c r="I827"/>
      <c r="J827"/>
      <c r="K827"/>
      <c r="L827"/>
      <c r="N827" s="245"/>
      <c r="O827"/>
      <c r="P827"/>
      <c r="Q827"/>
      <c r="R827"/>
    </row>
    <row r="828" spans="5:18">
      <c r="E828" s="244"/>
      <c r="F828" s="244"/>
      <c r="G828" s="244"/>
      <c r="H828" s="244"/>
      <c r="I828"/>
      <c r="J828"/>
      <c r="K828"/>
      <c r="L828"/>
      <c r="N828" s="245"/>
      <c r="O828"/>
      <c r="P828"/>
      <c r="Q828"/>
      <c r="R828"/>
    </row>
    <row r="829" spans="5:18">
      <c r="E829" s="244"/>
      <c r="F829" s="244"/>
      <c r="G829" s="244"/>
      <c r="H829" s="244"/>
      <c r="I829"/>
      <c r="J829"/>
      <c r="K829"/>
      <c r="L829"/>
      <c r="N829" s="245"/>
      <c r="O829"/>
      <c r="P829"/>
      <c r="Q829"/>
      <c r="R829"/>
    </row>
    <row r="830" spans="5:18">
      <c r="E830" s="244"/>
      <c r="F830" s="244"/>
      <c r="G830" s="244"/>
      <c r="H830" s="244"/>
      <c r="I830"/>
      <c r="J830"/>
      <c r="K830"/>
      <c r="L830"/>
      <c r="N830" s="245"/>
      <c r="O830"/>
      <c r="P830"/>
      <c r="Q830"/>
      <c r="R830"/>
    </row>
    <row r="831" spans="5:18">
      <c r="E831" s="244"/>
      <c r="F831" s="244"/>
      <c r="G831" s="244"/>
      <c r="H831" s="244"/>
      <c r="I831"/>
      <c r="J831"/>
      <c r="K831"/>
      <c r="L831"/>
      <c r="N831" s="245"/>
      <c r="O831"/>
      <c r="P831"/>
      <c r="Q831"/>
      <c r="R831"/>
    </row>
    <row r="832" spans="5:18">
      <c r="E832" s="244"/>
      <c r="F832" s="244"/>
      <c r="G832" s="244"/>
      <c r="H832" s="244"/>
      <c r="I832"/>
      <c r="J832"/>
      <c r="K832"/>
      <c r="L832"/>
      <c r="N832" s="245"/>
      <c r="O832"/>
      <c r="P832"/>
      <c r="Q832"/>
      <c r="R832"/>
    </row>
    <row r="833" spans="5:18">
      <c r="E833" s="244"/>
      <c r="F833" s="244"/>
      <c r="G833" s="244"/>
      <c r="H833" s="244"/>
      <c r="I833"/>
      <c r="J833"/>
      <c r="K833"/>
      <c r="L833"/>
      <c r="N833" s="245"/>
      <c r="O833"/>
      <c r="P833"/>
      <c r="Q833"/>
      <c r="R833"/>
    </row>
    <row r="834" spans="5:18">
      <c r="E834" s="244"/>
      <c r="F834" s="244"/>
      <c r="G834" s="244"/>
      <c r="H834" s="244"/>
      <c r="I834"/>
      <c r="J834"/>
      <c r="K834"/>
      <c r="L834"/>
      <c r="N834" s="245"/>
      <c r="O834"/>
      <c r="P834"/>
      <c r="Q834"/>
      <c r="R834"/>
    </row>
    <row r="835" spans="5:18">
      <c r="E835" s="244"/>
      <c r="F835" s="244"/>
      <c r="G835" s="244"/>
      <c r="H835" s="244"/>
      <c r="I835"/>
      <c r="J835"/>
      <c r="K835"/>
      <c r="L835"/>
      <c r="N835" s="245"/>
      <c r="O835"/>
      <c r="P835"/>
      <c r="Q835"/>
      <c r="R835"/>
    </row>
    <row r="836" spans="5:18">
      <c r="E836" s="244"/>
      <c r="F836" s="244"/>
      <c r="G836" s="244"/>
      <c r="H836" s="244"/>
      <c r="I836"/>
      <c r="J836"/>
      <c r="K836"/>
      <c r="L836"/>
      <c r="N836" s="245"/>
      <c r="O836"/>
      <c r="P836"/>
      <c r="Q836"/>
      <c r="R836"/>
    </row>
    <row r="837" spans="5:18">
      <c r="E837" s="244"/>
      <c r="F837" s="244"/>
      <c r="G837" s="244"/>
      <c r="H837" s="244"/>
      <c r="I837"/>
      <c r="J837"/>
      <c r="K837"/>
      <c r="L837"/>
      <c r="N837" s="245"/>
      <c r="O837"/>
      <c r="P837"/>
      <c r="Q837"/>
      <c r="R837"/>
    </row>
    <row r="838" spans="5:18">
      <c r="E838" s="244"/>
      <c r="F838" s="244"/>
      <c r="G838" s="244"/>
      <c r="H838" s="244"/>
      <c r="I838"/>
      <c r="J838"/>
      <c r="K838"/>
      <c r="L838"/>
      <c r="N838" s="245"/>
      <c r="O838"/>
      <c r="P838"/>
      <c r="Q838"/>
      <c r="R838"/>
    </row>
    <row r="839" spans="5:18">
      <c r="E839" s="244"/>
      <c r="F839" s="244"/>
      <c r="G839" s="244"/>
      <c r="H839" s="244"/>
      <c r="I839"/>
      <c r="J839"/>
      <c r="K839"/>
      <c r="L839"/>
      <c r="N839" s="245"/>
      <c r="O839"/>
      <c r="P839"/>
      <c r="Q839"/>
      <c r="R839"/>
    </row>
    <row r="840" spans="5:18">
      <c r="E840" s="244"/>
      <c r="F840" s="244"/>
      <c r="G840" s="244"/>
      <c r="H840" s="244"/>
      <c r="I840"/>
      <c r="J840"/>
      <c r="K840"/>
      <c r="L840"/>
      <c r="N840" s="245"/>
      <c r="O840"/>
      <c r="P840"/>
      <c r="Q840"/>
      <c r="R840"/>
    </row>
    <row r="841" spans="5:18">
      <c r="E841" s="244"/>
      <c r="F841" s="244"/>
      <c r="G841" s="244"/>
      <c r="H841" s="244"/>
      <c r="I841"/>
      <c r="J841"/>
      <c r="K841"/>
      <c r="L841"/>
      <c r="N841" s="245"/>
      <c r="O841"/>
      <c r="P841"/>
      <c r="Q841"/>
      <c r="R841"/>
    </row>
    <row r="842" spans="5:18">
      <c r="E842" s="244"/>
      <c r="F842" s="244"/>
      <c r="G842" s="244"/>
      <c r="H842" s="244"/>
      <c r="I842"/>
      <c r="J842"/>
      <c r="K842"/>
      <c r="L842"/>
      <c r="N842" s="245"/>
      <c r="O842"/>
      <c r="P842"/>
      <c r="Q842"/>
      <c r="R842"/>
    </row>
    <row r="843" spans="5:18">
      <c r="E843" s="244"/>
      <c r="F843" s="244"/>
      <c r="G843" s="244"/>
      <c r="H843" s="244"/>
      <c r="I843"/>
      <c r="J843"/>
      <c r="K843"/>
      <c r="L843"/>
      <c r="N843" s="245"/>
      <c r="O843"/>
      <c r="P843"/>
      <c r="Q843"/>
      <c r="R843"/>
    </row>
    <row r="844" spans="5:18">
      <c r="E844" s="244"/>
      <c r="F844" s="244"/>
      <c r="G844" s="244"/>
      <c r="H844" s="244"/>
      <c r="I844"/>
      <c r="J844"/>
      <c r="K844"/>
      <c r="L844"/>
      <c r="N844" s="245"/>
      <c r="O844"/>
      <c r="P844"/>
      <c r="Q844"/>
      <c r="R844"/>
    </row>
    <row r="845" spans="5:18">
      <c r="E845" s="244"/>
      <c r="F845" s="244"/>
      <c r="G845" s="244"/>
      <c r="H845" s="244"/>
      <c r="I845"/>
      <c r="J845"/>
      <c r="K845"/>
      <c r="L845"/>
      <c r="N845" s="245"/>
      <c r="O845"/>
      <c r="P845"/>
      <c r="Q845"/>
      <c r="R845"/>
    </row>
    <row r="846" spans="5:18">
      <c r="E846" s="244"/>
      <c r="F846" s="244"/>
      <c r="G846" s="244"/>
      <c r="H846" s="244"/>
      <c r="I846"/>
      <c r="J846"/>
      <c r="K846"/>
      <c r="L846"/>
      <c r="N846" s="245"/>
      <c r="O846"/>
      <c r="P846"/>
      <c r="Q846"/>
      <c r="R846"/>
    </row>
    <row r="847" spans="5:18">
      <c r="E847" s="244"/>
      <c r="F847" s="244"/>
      <c r="G847" s="244"/>
      <c r="H847" s="244"/>
      <c r="I847"/>
      <c r="J847"/>
      <c r="K847"/>
      <c r="L847"/>
      <c r="N847" s="245"/>
      <c r="O847"/>
      <c r="P847"/>
      <c r="Q847"/>
      <c r="R847"/>
    </row>
    <row r="848" spans="5:18">
      <c r="E848" s="244"/>
      <c r="F848" s="244"/>
      <c r="G848" s="244"/>
      <c r="H848" s="244"/>
      <c r="I848"/>
      <c r="J848"/>
      <c r="K848"/>
      <c r="L848"/>
      <c r="N848" s="245"/>
      <c r="O848"/>
      <c r="P848"/>
      <c r="Q848"/>
      <c r="R848"/>
    </row>
    <row r="849" spans="5:18">
      <c r="E849" s="244"/>
      <c r="F849" s="244"/>
      <c r="G849" s="244"/>
      <c r="H849" s="244"/>
      <c r="I849"/>
      <c r="J849"/>
      <c r="K849"/>
      <c r="L849"/>
      <c r="N849" s="245"/>
      <c r="O849"/>
      <c r="P849"/>
      <c r="Q849"/>
      <c r="R849"/>
    </row>
    <row r="850" spans="5:18">
      <c r="E850" s="244"/>
      <c r="F850" s="244"/>
      <c r="G850" s="244"/>
      <c r="H850" s="244"/>
      <c r="I850"/>
      <c r="J850"/>
      <c r="K850"/>
      <c r="L850"/>
      <c r="N850" s="245"/>
      <c r="O850"/>
      <c r="P850"/>
      <c r="Q850"/>
      <c r="R850"/>
    </row>
    <row r="851" spans="5:18">
      <c r="E851" s="244"/>
      <c r="F851" s="244"/>
      <c r="G851" s="244"/>
      <c r="H851" s="244"/>
      <c r="I851"/>
      <c r="J851"/>
      <c r="K851"/>
      <c r="L851"/>
      <c r="N851" s="245"/>
      <c r="O851"/>
      <c r="P851"/>
      <c r="Q851"/>
      <c r="R851"/>
    </row>
    <row r="852" spans="5:18">
      <c r="E852" s="244"/>
      <c r="F852" s="244"/>
      <c r="G852" s="244"/>
      <c r="H852" s="244"/>
      <c r="I852"/>
      <c r="J852"/>
      <c r="K852"/>
      <c r="L852"/>
      <c r="N852" s="245"/>
      <c r="O852"/>
      <c r="P852"/>
      <c r="Q852"/>
      <c r="R852"/>
    </row>
    <row r="853" spans="5:18">
      <c r="E853" s="244"/>
      <c r="F853" s="244"/>
      <c r="G853" s="244"/>
      <c r="H853" s="244"/>
      <c r="I853"/>
      <c r="J853"/>
      <c r="K853"/>
      <c r="L853"/>
      <c r="N853" s="245"/>
      <c r="O853"/>
      <c r="P853"/>
      <c r="Q853"/>
      <c r="R853"/>
    </row>
    <row r="854" spans="5:18">
      <c r="E854" s="244"/>
      <c r="F854" s="244"/>
      <c r="G854" s="244"/>
      <c r="H854" s="244"/>
      <c r="I854"/>
      <c r="J854"/>
      <c r="K854"/>
      <c r="L854"/>
      <c r="N854" s="245"/>
      <c r="O854"/>
      <c r="P854"/>
      <c r="Q854"/>
      <c r="R854"/>
    </row>
    <row r="855" spans="5:18">
      <c r="E855" s="244"/>
      <c r="F855" s="244"/>
      <c r="G855" s="244"/>
      <c r="H855" s="244"/>
      <c r="I855"/>
      <c r="J855"/>
      <c r="K855"/>
      <c r="L855"/>
      <c r="N855" s="245"/>
      <c r="O855"/>
      <c r="P855"/>
      <c r="Q855"/>
      <c r="R855"/>
    </row>
    <row r="856" spans="5:18">
      <c r="E856" s="244"/>
      <c r="F856" s="244"/>
      <c r="G856" s="244"/>
      <c r="H856" s="244"/>
      <c r="I856"/>
      <c r="J856"/>
      <c r="K856"/>
      <c r="L856"/>
      <c r="N856" s="245"/>
      <c r="O856"/>
      <c r="P856"/>
      <c r="Q856"/>
      <c r="R856"/>
    </row>
    <row r="857" spans="5:18">
      <c r="E857" s="244"/>
      <c r="F857" s="244"/>
      <c r="G857" s="244"/>
      <c r="H857" s="244"/>
      <c r="I857"/>
      <c r="J857"/>
      <c r="K857"/>
      <c r="L857"/>
      <c r="N857" s="245"/>
      <c r="O857"/>
      <c r="P857"/>
      <c r="Q857"/>
      <c r="R857"/>
    </row>
    <row r="858" spans="5:18">
      <c r="E858" s="244"/>
      <c r="F858" s="244"/>
      <c r="G858" s="244"/>
      <c r="H858" s="244"/>
      <c r="I858"/>
      <c r="J858"/>
      <c r="K858"/>
      <c r="L858"/>
      <c r="N858" s="245"/>
      <c r="O858"/>
      <c r="P858"/>
      <c r="Q858"/>
      <c r="R858"/>
    </row>
    <row r="859" spans="5:18">
      <c r="E859" s="244"/>
      <c r="F859" s="244"/>
      <c r="G859" s="244"/>
      <c r="H859" s="244"/>
      <c r="I859"/>
      <c r="J859"/>
      <c r="K859"/>
      <c r="L859"/>
      <c r="N859" s="245"/>
      <c r="O859"/>
      <c r="P859"/>
      <c r="Q859"/>
      <c r="R859"/>
    </row>
    <row r="860" spans="5:18">
      <c r="E860" s="244"/>
      <c r="F860" s="244"/>
      <c r="G860" s="244"/>
      <c r="H860" s="244"/>
      <c r="I860"/>
      <c r="J860"/>
      <c r="K860"/>
      <c r="L860"/>
      <c r="N860" s="245"/>
      <c r="O860"/>
      <c r="P860"/>
      <c r="Q860"/>
      <c r="R860"/>
    </row>
    <row r="861" spans="5:18">
      <c r="E861" s="244"/>
      <c r="F861" s="244"/>
      <c r="G861" s="244"/>
      <c r="H861" s="244"/>
      <c r="I861"/>
      <c r="J861"/>
      <c r="K861"/>
      <c r="L861"/>
      <c r="N861" s="245"/>
      <c r="O861"/>
      <c r="P861"/>
      <c r="Q861"/>
      <c r="R861"/>
    </row>
    <row r="862" spans="5:18">
      <c r="E862" s="244"/>
      <c r="F862" s="244"/>
      <c r="G862" s="244"/>
      <c r="H862" s="244"/>
      <c r="I862"/>
      <c r="J862"/>
      <c r="K862"/>
      <c r="L862"/>
      <c r="N862" s="245"/>
      <c r="O862"/>
      <c r="P862"/>
      <c r="Q862"/>
      <c r="R862"/>
    </row>
    <row r="863" spans="5:18">
      <c r="E863" s="244"/>
      <c r="F863" s="244"/>
      <c r="G863" s="244"/>
      <c r="H863" s="244"/>
      <c r="I863"/>
      <c r="J863"/>
      <c r="K863"/>
      <c r="L863"/>
      <c r="N863" s="245"/>
      <c r="O863"/>
      <c r="P863"/>
      <c r="Q863"/>
      <c r="R863"/>
    </row>
    <row r="864" spans="5:18">
      <c r="E864" s="244"/>
      <c r="F864" s="244"/>
      <c r="G864" s="244"/>
      <c r="H864" s="244"/>
      <c r="I864"/>
      <c r="J864"/>
      <c r="K864"/>
      <c r="L864"/>
      <c r="N864" s="245"/>
      <c r="O864"/>
      <c r="P864"/>
      <c r="Q864"/>
      <c r="R864"/>
    </row>
    <row r="865" spans="5:18">
      <c r="E865" s="244"/>
      <c r="F865" s="244"/>
      <c r="G865" s="244"/>
      <c r="H865" s="244"/>
      <c r="I865"/>
      <c r="J865"/>
      <c r="K865"/>
      <c r="L865"/>
      <c r="N865" s="245"/>
      <c r="O865"/>
      <c r="P865"/>
      <c r="Q865"/>
      <c r="R865"/>
    </row>
    <row r="866" spans="5:18">
      <c r="E866" s="244"/>
      <c r="F866" s="244"/>
      <c r="G866" s="244"/>
      <c r="H866" s="244"/>
      <c r="I866"/>
      <c r="J866"/>
      <c r="K866"/>
      <c r="L866"/>
      <c r="N866" s="245"/>
      <c r="O866"/>
      <c r="P866"/>
      <c r="Q866"/>
      <c r="R866"/>
    </row>
    <row r="867" spans="5:18">
      <c r="E867" s="244"/>
      <c r="F867" s="244"/>
      <c r="G867" s="244"/>
      <c r="H867" s="244"/>
      <c r="I867"/>
      <c r="J867"/>
      <c r="K867"/>
      <c r="L867"/>
      <c r="N867" s="245"/>
      <c r="O867"/>
      <c r="P867"/>
      <c r="Q867"/>
      <c r="R867"/>
    </row>
    <row r="868" spans="5:18">
      <c r="E868" s="244"/>
      <c r="F868" s="244"/>
      <c r="G868" s="244"/>
      <c r="H868" s="244"/>
      <c r="I868"/>
      <c r="J868"/>
      <c r="K868"/>
      <c r="L868"/>
      <c r="N868" s="245"/>
      <c r="O868"/>
      <c r="P868"/>
      <c r="Q868"/>
      <c r="R868"/>
    </row>
    <row r="869" spans="5:18">
      <c r="E869" s="244"/>
      <c r="F869" s="244"/>
      <c r="G869" s="244"/>
      <c r="H869" s="244"/>
      <c r="I869"/>
      <c r="J869"/>
      <c r="K869"/>
      <c r="L869"/>
      <c r="N869" s="245"/>
      <c r="O869"/>
      <c r="P869"/>
      <c r="Q869"/>
      <c r="R869"/>
    </row>
    <row r="870" spans="5:18">
      <c r="E870" s="244"/>
      <c r="F870" s="244"/>
      <c r="G870" s="244"/>
      <c r="H870" s="244"/>
      <c r="I870"/>
      <c r="J870"/>
      <c r="K870"/>
      <c r="L870"/>
      <c r="N870" s="245"/>
      <c r="O870"/>
      <c r="P870"/>
      <c r="Q870"/>
      <c r="R870"/>
    </row>
    <row r="871" spans="5:18">
      <c r="E871" s="244"/>
      <c r="F871" s="244"/>
      <c r="G871" s="244"/>
      <c r="H871" s="244"/>
      <c r="I871"/>
      <c r="J871"/>
      <c r="K871"/>
      <c r="L871"/>
      <c r="N871" s="245"/>
      <c r="O871"/>
      <c r="P871"/>
      <c r="Q871"/>
      <c r="R871"/>
    </row>
    <row r="872" spans="5:18">
      <c r="E872" s="244"/>
      <c r="F872" s="244"/>
      <c r="G872" s="244"/>
      <c r="H872" s="244"/>
      <c r="I872"/>
      <c r="J872"/>
      <c r="K872"/>
      <c r="L872"/>
      <c r="N872" s="245"/>
      <c r="O872"/>
      <c r="P872"/>
      <c r="Q872"/>
      <c r="R872"/>
    </row>
    <row r="873" spans="5:18">
      <c r="E873" s="244"/>
      <c r="F873" s="244"/>
      <c r="G873" s="244"/>
      <c r="H873" s="244"/>
      <c r="I873"/>
      <c r="J873"/>
      <c r="K873"/>
      <c r="L873"/>
      <c r="N873" s="245"/>
      <c r="O873"/>
      <c r="P873"/>
      <c r="Q873"/>
      <c r="R873"/>
    </row>
    <row r="874" spans="5:18">
      <c r="E874" s="244"/>
      <c r="F874" s="244"/>
      <c r="G874" s="244"/>
      <c r="H874" s="244"/>
      <c r="I874"/>
      <c r="J874"/>
      <c r="K874"/>
      <c r="L874"/>
      <c r="N874" s="245"/>
      <c r="O874"/>
      <c r="P874"/>
      <c r="Q874"/>
      <c r="R874"/>
    </row>
    <row r="875" spans="5:18">
      <c r="E875" s="244"/>
      <c r="F875" s="244"/>
      <c r="G875" s="244"/>
      <c r="H875" s="244"/>
      <c r="I875"/>
      <c r="J875"/>
      <c r="K875"/>
      <c r="L875"/>
      <c r="N875" s="245"/>
      <c r="O875"/>
      <c r="P875"/>
      <c r="Q875"/>
      <c r="R875"/>
    </row>
    <row r="876" spans="5:18">
      <c r="E876" s="244"/>
      <c r="F876" s="244"/>
      <c r="G876" s="244"/>
      <c r="H876" s="244"/>
      <c r="I876"/>
      <c r="J876"/>
      <c r="K876"/>
      <c r="L876"/>
      <c r="N876" s="245"/>
      <c r="O876"/>
      <c r="P876"/>
      <c r="Q876"/>
      <c r="R876"/>
    </row>
    <row r="877" spans="5:18">
      <c r="E877" s="244"/>
      <c r="F877" s="244"/>
      <c r="G877" s="244"/>
      <c r="H877" s="244"/>
      <c r="I877"/>
      <c r="J877"/>
      <c r="K877"/>
      <c r="L877"/>
      <c r="N877" s="245"/>
      <c r="O877"/>
      <c r="P877"/>
      <c r="Q877"/>
      <c r="R877"/>
    </row>
    <row r="878" spans="5:18">
      <c r="E878" s="244"/>
      <c r="F878" s="244"/>
      <c r="G878" s="244"/>
      <c r="H878" s="244"/>
      <c r="I878"/>
      <c r="J878"/>
      <c r="K878"/>
      <c r="L878"/>
      <c r="N878" s="245"/>
      <c r="O878"/>
      <c r="P878"/>
      <c r="Q878"/>
      <c r="R878"/>
    </row>
    <row r="879" spans="5:18">
      <c r="E879" s="244"/>
      <c r="F879" s="244"/>
      <c r="G879" s="244"/>
      <c r="H879" s="244"/>
      <c r="I879"/>
      <c r="J879"/>
      <c r="K879"/>
      <c r="L879"/>
      <c r="N879" s="245"/>
      <c r="O879"/>
      <c r="P879"/>
      <c r="Q879"/>
      <c r="R879"/>
    </row>
    <row r="880" spans="5:18">
      <c r="E880" s="244"/>
      <c r="F880" s="244"/>
      <c r="G880" s="244"/>
      <c r="H880" s="244"/>
      <c r="I880"/>
      <c r="J880"/>
      <c r="K880"/>
      <c r="L880"/>
      <c r="N880" s="245"/>
      <c r="O880"/>
      <c r="P880"/>
      <c r="Q880"/>
      <c r="R880"/>
    </row>
    <row r="881" spans="5:18">
      <c r="E881" s="244"/>
      <c r="F881" s="244"/>
      <c r="G881" s="244"/>
      <c r="H881" s="244"/>
      <c r="I881"/>
      <c r="J881"/>
      <c r="K881"/>
      <c r="L881"/>
      <c r="N881" s="245"/>
      <c r="O881"/>
      <c r="P881"/>
      <c r="Q881"/>
      <c r="R881"/>
    </row>
    <row r="882" spans="5:18">
      <c r="E882" s="244"/>
      <c r="F882" s="244"/>
      <c r="G882" s="244"/>
      <c r="H882" s="244"/>
      <c r="I882"/>
      <c r="J882"/>
      <c r="K882"/>
      <c r="L882"/>
      <c r="N882" s="245"/>
      <c r="O882"/>
      <c r="P882"/>
      <c r="Q882"/>
      <c r="R882"/>
    </row>
    <row r="883" spans="5:18">
      <c r="E883" s="244"/>
      <c r="F883" s="244"/>
      <c r="G883" s="244"/>
      <c r="H883" s="244"/>
      <c r="I883"/>
      <c r="J883"/>
      <c r="K883"/>
      <c r="L883"/>
      <c r="N883" s="245"/>
      <c r="O883"/>
      <c r="P883"/>
      <c r="Q883"/>
      <c r="R883"/>
    </row>
    <row r="884" spans="5:18">
      <c r="E884" s="244"/>
      <c r="F884" s="244"/>
      <c r="G884" s="244"/>
      <c r="H884" s="244"/>
      <c r="I884"/>
      <c r="J884"/>
      <c r="K884"/>
      <c r="L884"/>
      <c r="N884" s="245"/>
      <c r="O884"/>
      <c r="P884"/>
      <c r="Q884"/>
      <c r="R884"/>
    </row>
    <row r="885" spans="5:18">
      <c r="E885" s="244"/>
      <c r="F885" s="244"/>
      <c r="G885" s="244"/>
      <c r="H885" s="244"/>
      <c r="I885"/>
      <c r="J885"/>
      <c r="K885"/>
      <c r="L885"/>
      <c r="N885" s="245"/>
      <c r="O885"/>
      <c r="P885"/>
      <c r="Q885"/>
      <c r="R885"/>
    </row>
    <row r="886" spans="5:18">
      <c r="E886" s="244"/>
      <c r="F886" s="244"/>
      <c r="G886" s="244"/>
      <c r="H886" s="244"/>
      <c r="I886"/>
      <c r="J886"/>
      <c r="K886"/>
      <c r="L886"/>
      <c r="N886" s="245"/>
      <c r="O886"/>
      <c r="P886"/>
      <c r="Q886"/>
      <c r="R886"/>
    </row>
    <row r="887" spans="5:18">
      <c r="E887" s="244"/>
      <c r="F887" s="244"/>
      <c r="G887" s="244"/>
      <c r="H887" s="244"/>
      <c r="I887"/>
      <c r="J887"/>
      <c r="K887"/>
      <c r="L887"/>
      <c r="N887" s="245"/>
      <c r="O887"/>
      <c r="P887"/>
      <c r="Q887"/>
      <c r="R887"/>
    </row>
    <row r="888" spans="5:18">
      <c r="E888" s="244"/>
      <c r="F888" s="244"/>
      <c r="G888" s="244"/>
      <c r="H888" s="244"/>
      <c r="I888"/>
      <c r="J888"/>
      <c r="K888"/>
      <c r="L888"/>
      <c r="N888" s="245"/>
      <c r="O888"/>
      <c r="P888"/>
      <c r="Q888"/>
      <c r="R888"/>
    </row>
    <row r="889" spans="5:18">
      <c r="E889" s="244"/>
      <c r="F889" s="244"/>
      <c r="G889" s="244"/>
      <c r="H889" s="244"/>
      <c r="I889"/>
      <c r="J889"/>
      <c r="K889"/>
      <c r="L889"/>
      <c r="N889" s="245"/>
      <c r="O889"/>
      <c r="P889"/>
      <c r="Q889"/>
      <c r="R889"/>
    </row>
    <row r="890" spans="5:18">
      <c r="E890" s="244"/>
      <c r="F890" s="244"/>
      <c r="G890" s="244"/>
      <c r="H890" s="244"/>
      <c r="I890"/>
      <c r="J890"/>
      <c r="K890"/>
      <c r="L890"/>
      <c r="N890" s="245"/>
      <c r="O890"/>
      <c r="P890"/>
      <c r="Q890"/>
      <c r="R890"/>
    </row>
    <row r="891" spans="5:18">
      <c r="E891" s="244"/>
      <c r="F891" s="244"/>
      <c r="G891" s="244"/>
      <c r="H891" s="244"/>
      <c r="I891"/>
      <c r="J891"/>
      <c r="K891"/>
      <c r="L891"/>
      <c r="N891" s="245"/>
      <c r="O891"/>
      <c r="P891"/>
      <c r="Q891"/>
      <c r="R891"/>
    </row>
    <row r="892" spans="5:18">
      <c r="E892" s="244"/>
      <c r="F892" s="244"/>
      <c r="G892" s="244"/>
      <c r="H892" s="244"/>
      <c r="I892"/>
      <c r="J892"/>
      <c r="K892"/>
      <c r="L892"/>
      <c r="N892" s="245"/>
      <c r="O892"/>
      <c r="P892"/>
      <c r="Q892"/>
      <c r="R892"/>
    </row>
    <row r="893" spans="5:18">
      <c r="E893" s="244"/>
      <c r="F893" s="244"/>
      <c r="G893" s="244"/>
      <c r="H893" s="244"/>
      <c r="I893"/>
      <c r="J893"/>
      <c r="K893"/>
      <c r="L893"/>
      <c r="N893" s="245"/>
      <c r="O893"/>
      <c r="P893"/>
      <c r="Q893"/>
      <c r="R893"/>
    </row>
    <row r="894" spans="5:18">
      <c r="E894" s="244"/>
      <c r="F894" s="244"/>
      <c r="G894" s="244"/>
      <c r="H894" s="244"/>
      <c r="I894"/>
      <c r="J894"/>
      <c r="K894"/>
      <c r="L894"/>
      <c r="N894" s="245"/>
      <c r="O894"/>
      <c r="P894"/>
      <c r="Q894"/>
      <c r="R894"/>
    </row>
    <row r="895" spans="5:18">
      <c r="E895" s="244"/>
      <c r="F895" s="244"/>
      <c r="G895" s="244"/>
      <c r="H895" s="244"/>
      <c r="I895"/>
      <c r="J895"/>
      <c r="K895"/>
      <c r="L895"/>
      <c r="N895" s="245"/>
      <c r="O895"/>
      <c r="P895"/>
      <c r="Q895"/>
      <c r="R895"/>
    </row>
    <row r="896" spans="5:18">
      <c r="E896" s="244"/>
      <c r="F896" s="244"/>
      <c r="G896" s="244"/>
      <c r="H896" s="244"/>
      <c r="I896"/>
      <c r="J896"/>
      <c r="K896"/>
      <c r="L896"/>
      <c r="N896" s="245"/>
      <c r="O896"/>
      <c r="P896"/>
      <c r="Q896"/>
      <c r="R896"/>
    </row>
    <row r="897" spans="5:18">
      <c r="E897" s="244"/>
      <c r="F897" s="244"/>
      <c r="G897" s="244"/>
      <c r="H897" s="244"/>
      <c r="I897"/>
      <c r="J897"/>
      <c r="K897"/>
      <c r="L897"/>
      <c r="N897" s="245"/>
      <c r="O897"/>
      <c r="P897"/>
      <c r="Q897"/>
      <c r="R897"/>
    </row>
    <row r="898" spans="5:18">
      <c r="E898" s="244"/>
      <c r="F898" s="244"/>
      <c r="G898" s="244"/>
      <c r="H898" s="244"/>
      <c r="I898"/>
      <c r="J898"/>
      <c r="K898"/>
      <c r="L898"/>
      <c r="N898" s="245"/>
      <c r="O898"/>
      <c r="P898"/>
      <c r="Q898"/>
      <c r="R898"/>
    </row>
    <row r="899" spans="5:18">
      <c r="E899" s="244"/>
      <c r="F899" s="244"/>
      <c r="G899" s="244"/>
      <c r="H899" s="244"/>
      <c r="I899"/>
      <c r="J899"/>
      <c r="K899"/>
      <c r="L899"/>
      <c r="N899" s="245"/>
      <c r="O899"/>
      <c r="P899"/>
      <c r="Q899"/>
      <c r="R899"/>
    </row>
    <row r="900" spans="5:18">
      <c r="E900" s="244"/>
      <c r="F900" s="244"/>
      <c r="G900" s="244"/>
      <c r="H900" s="244"/>
      <c r="I900"/>
      <c r="J900"/>
      <c r="K900"/>
      <c r="L900"/>
      <c r="N900" s="245"/>
      <c r="O900"/>
      <c r="P900"/>
      <c r="Q900"/>
      <c r="R900"/>
    </row>
    <row r="901" spans="5:18">
      <c r="E901" s="244"/>
      <c r="F901" s="244"/>
      <c r="G901" s="244"/>
      <c r="H901" s="244"/>
      <c r="I901"/>
      <c r="J901"/>
      <c r="K901"/>
      <c r="L901"/>
      <c r="N901" s="245"/>
      <c r="O901"/>
      <c r="P901"/>
      <c r="Q901"/>
      <c r="R901"/>
    </row>
    <row r="902" spans="5:18">
      <c r="E902" s="244"/>
      <c r="F902" s="244"/>
      <c r="G902" s="244"/>
      <c r="H902" s="244"/>
      <c r="I902"/>
      <c r="J902"/>
      <c r="K902"/>
      <c r="L902"/>
      <c r="N902" s="245"/>
      <c r="O902"/>
      <c r="P902"/>
      <c r="Q902"/>
      <c r="R902"/>
    </row>
    <row r="903" spans="5:18">
      <c r="E903" s="244"/>
      <c r="F903" s="244"/>
      <c r="G903" s="244"/>
      <c r="H903" s="244"/>
      <c r="I903"/>
      <c r="J903"/>
      <c r="K903"/>
      <c r="L903"/>
      <c r="N903" s="245"/>
      <c r="O903"/>
      <c r="P903"/>
      <c r="Q903"/>
      <c r="R903"/>
    </row>
    <row r="904" spans="5:18">
      <c r="E904" s="244"/>
      <c r="F904" s="244"/>
      <c r="G904" s="244"/>
      <c r="H904" s="244"/>
      <c r="I904"/>
      <c r="J904"/>
      <c r="K904"/>
      <c r="L904"/>
      <c r="N904" s="245"/>
      <c r="O904"/>
      <c r="P904"/>
      <c r="Q904"/>
      <c r="R904"/>
    </row>
    <row r="905" spans="5:18">
      <c r="E905" s="244"/>
      <c r="F905" s="244"/>
      <c r="G905" s="244"/>
      <c r="H905" s="244"/>
      <c r="I905"/>
      <c r="J905"/>
      <c r="K905"/>
      <c r="L905"/>
      <c r="N905" s="245"/>
      <c r="O905"/>
      <c r="P905"/>
      <c r="Q905"/>
      <c r="R905"/>
    </row>
    <row r="906" spans="5:18">
      <c r="E906" s="244"/>
      <c r="F906" s="244"/>
      <c r="G906" s="244"/>
      <c r="H906" s="244"/>
      <c r="I906"/>
      <c r="J906"/>
      <c r="K906"/>
      <c r="L906"/>
      <c r="N906" s="245"/>
      <c r="O906"/>
      <c r="P906"/>
      <c r="Q906"/>
      <c r="R906"/>
    </row>
    <row r="907" spans="5:18">
      <c r="E907" s="244"/>
      <c r="F907" s="244"/>
      <c r="G907" s="244"/>
      <c r="H907" s="244"/>
      <c r="I907"/>
      <c r="J907"/>
      <c r="K907"/>
      <c r="L907"/>
      <c r="N907" s="245"/>
      <c r="O907"/>
      <c r="P907"/>
      <c r="Q907"/>
      <c r="R907"/>
    </row>
    <row r="908" spans="5:18">
      <c r="E908" s="244"/>
      <c r="F908" s="244"/>
      <c r="G908" s="244"/>
      <c r="H908" s="244"/>
      <c r="I908"/>
      <c r="J908"/>
      <c r="K908"/>
      <c r="L908"/>
      <c r="N908" s="245"/>
      <c r="O908"/>
      <c r="P908"/>
      <c r="Q908"/>
      <c r="R908"/>
    </row>
    <row r="909" spans="5:18">
      <c r="E909" s="244"/>
      <c r="F909" s="244"/>
      <c r="G909" s="244"/>
      <c r="H909" s="244"/>
      <c r="I909"/>
      <c r="J909"/>
      <c r="K909"/>
      <c r="L909"/>
      <c r="N909" s="245"/>
      <c r="O909"/>
      <c r="P909"/>
      <c r="Q909"/>
      <c r="R909"/>
    </row>
    <row r="910" spans="5:18">
      <c r="E910" s="244"/>
      <c r="F910" s="244"/>
      <c r="G910" s="244"/>
      <c r="H910" s="244"/>
      <c r="I910"/>
      <c r="J910"/>
      <c r="K910"/>
      <c r="L910"/>
      <c r="N910" s="245"/>
      <c r="O910"/>
      <c r="P910"/>
      <c r="Q910"/>
      <c r="R910"/>
    </row>
    <row r="911" spans="5:18">
      <c r="E911" s="244"/>
      <c r="F911" s="244"/>
      <c r="G911" s="244"/>
      <c r="H911" s="244"/>
      <c r="I911"/>
      <c r="J911"/>
      <c r="K911"/>
      <c r="L911"/>
      <c r="N911" s="245"/>
      <c r="O911"/>
      <c r="P911"/>
      <c r="Q911"/>
      <c r="R911"/>
    </row>
    <row r="912" spans="5:18">
      <c r="E912" s="244"/>
      <c r="F912" s="244"/>
      <c r="G912" s="244"/>
      <c r="H912" s="244"/>
      <c r="I912"/>
      <c r="J912"/>
      <c r="K912"/>
      <c r="L912"/>
      <c r="N912" s="245"/>
      <c r="O912"/>
      <c r="P912"/>
      <c r="Q912"/>
      <c r="R912"/>
    </row>
    <row r="913" spans="5:18">
      <c r="E913" s="244"/>
      <c r="F913" s="244"/>
      <c r="G913" s="244"/>
      <c r="H913" s="244"/>
      <c r="I913"/>
      <c r="J913"/>
      <c r="K913"/>
      <c r="L913"/>
      <c r="N913" s="245"/>
      <c r="O913"/>
      <c r="P913"/>
      <c r="Q913"/>
      <c r="R913"/>
    </row>
    <row r="914" spans="5:18">
      <c r="E914" s="244"/>
      <c r="F914" s="244"/>
      <c r="G914" s="244"/>
      <c r="H914" s="244"/>
      <c r="I914"/>
      <c r="J914"/>
      <c r="K914"/>
      <c r="L914"/>
      <c r="N914" s="245"/>
      <c r="O914"/>
      <c r="P914"/>
      <c r="Q914"/>
      <c r="R914"/>
    </row>
    <row r="915" spans="5:18">
      <c r="E915" s="244"/>
      <c r="F915" s="244"/>
      <c r="G915" s="244"/>
      <c r="H915" s="244"/>
      <c r="I915"/>
      <c r="J915"/>
      <c r="K915"/>
      <c r="L915"/>
      <c r="N915" s="245"/>
      <c r="O915"/>
      <c r="P915"/>
      <c r="Q915"/>
      <c r="R915"/>
    </row>
    <row r="916" spans="5:18">
      <c r="E916" s="244"/>
      <c r="F916" s="244"/>
      <c r="G916" s="244"/>
      <c r="H916" s="244"/>
      <c r="I916"/>
      <c r="J916"/>
      <c r="K916"/>
      <c r="L916"/>
      <c r="N916" s="245"/>
      <c r="O916"/>
      <c r="P916"/>
      <c r="Q916"/>
      <c r="R916"/>
    </row>
    <row r="917" spans="5:18">
      <c r="E917" s="244"/>
      <c r="F917" s="244"/>
      <c r="G917" s="244"/>
      <c r="H917" s="244"/>
      <c r="I917"/>
      <c r="J917"/>
      <c r="K917"/>
      <c r="L917"/>
      <c r="N917" s="245"/>
      <c r="O917"/>
      <c r="P917"/>
      <c r="Q917"/>
      <c r="R917"/>
    </row>
    <row r="918" spans="5:18">
      <c r="E918" s="244"/>
      <c r="F918" s="244"/>
      <c r="G918" s="244"/>
      <c r="H918" s="244"/>
      <c r="I918"/>
      <c r="J918"/>
      <c r="K918"/>
      <c r="L918"/>
      <c r="N918" s="245"/>
      <c r="O918"/>
      <c r="P918"/>
      <c r="Q918"/>
      <c r="R918"/>
    </row>
    <row r="919" spans="5:18">
      <c r="E919" s="244"/>
      <c r="F919" s="244"/>
      <c r="G919" s="244"/>
      <c r="H919" s="244"/>
      <c r="I919"/>
      <c r="J919"/>
      <c r="K919"/>
      <c r="L919"/>
      <c r="N919" s="245"/>
      <c r="O919"/>
      <c r="P919"/>
      <c r="Q919"/>
      <c r="R919"/>
    </row>
    <row r="920" spans="5:18">
      <c r="E920" s="244"/>
      <c r="F920" s="244"/>
      <c r="G920" s="244"/>
      <c r="H920" s="244"/>
      <c r="I920"/>
      <c r="J920"/>
      <c r="K920"/>
      <c r="L920"/>
      <c r="N920" s="245"/>
      <c r="O920"/>
      <c r="P920"/>
      <c r="Q920"/>
      <c r="R920"/>
    </row>
    <row r="921" spans="5:18">
      <c r="E921" s="244"/>
      <c r="F921" s="244"/>
      <c r="G921" s="244"/>
      <c r="H921" s="244"/>
      <c r="I921"/>
      <c r="J921"/>
      <c r="K921"/>
      <c r="L921"/>
      <c r="N921" s="245"/>
      <c r="O921"/>
      <c r="P921"/>
      <c r="Q921"/>
      <c r="R921"/>
    </row>
    <row r="922" spans="5:18">
      <c r="E922" s="244"/>
      <c r="F922" s="244"/>
      <c r="G922" s="244"/>
      <c r="H922" s="244"/>
      <c r="I922"/>
      <c r="J922"/>
      <c r="K922"/>
      <c r="L922"/>
      <c r="N922" s="245"/>
      <c r="O922"/>
      <c r="P922"/>
      <c r="Q922"/>
      <c r="R922"/>
    </row>
    <row r="923" spans="5:18">
      <c r="E923" s="244"/>
      <c r="F923" s="244"/>
      <c r="G923" s="244"/>
      <c r="H923" s="244"/>
      <c r="I923"/>
      <c r="J923"/>
      <c r="K923"/>
      <c r="L923"/>
      <c r="N923" s="245"/>
      <c r="O923"/>
      <c r="P923"/>
      <c r="Q923"/>
      <c r="R923"/>
    </row>
    <row r="924" spans="5:18">
      <c r="E924" s="244"/>
      <c r="F924" s="244"/>
      <c r="G924" s="244"/>
      <c r="H924" s="244"/>
      <c r="I924"/>
      <c r="J924"/>
      <c r="K924"/>
      <c r="L924"/>
      <c r="N924" s="245"/>
      <c r="O924"/>
      <c r="P924"/>
      <c r="Q924"/>
      <c r="R924"/>
    </row>
    <row r="925" spans="5:18">
      <c r="E925" s="244"/>
      <c r="F925" s="244"/>
      <c r="G925" s="244"/>
      <c r="H925" s="244"/>
      <c r="I925"/>
      <c r="J925"/>
      <c r="K925"/>
      <c r="L925"/>
      <c r="N925" s="245"/>
      <c r="O925"/>
      <c r="P925"/>
      <c r="Q925"/>
      <c r="R925"/>
    </row>
    <row r="926" spans="5:18">
      <c r="E926" s="244"/>
      <c r="F926" s="244"/>
      <c r="G926" s="244"/>
      <c r="H926" s="244"/>
      <c r="I926"/>
      <c r="J926"/>
      <c r="K926"/>
      <c r="L926"/>
      <c r="N926" s="245"/>
      <c r="O926"/>
      <c r="P926"/>
      <c r="Q926"/>
      <c r="R926"/>
    </row>
    <row r="927" spans="5:18">
      <c r="E927" s="244"/>
      <c r="F927" s="244"/>
      <c r="G927" s="244"/>
      <c r="H927" s="244"/>
      <c r="I927"/>
      <c r="J927"/>
      <c r="K927"/>
      <c r="L927"/>
      <c r="N927" s="245"/>
      <c r="O927"/>
      <c r="P927"/>
      <c r="Q927"/>
      <c r="R927"/>
    </row>
    <row r="928" spans="5:18">
      <c r="E928" s="244"/>
      <c r="F928" s="244"/>
      <c r="G928" s="244"/>
      <c r="H928" s="244"/>
      <c r="I928"/>
      <c r="J928"/>
      <c r="K928"/>
      <c r="L928"/>
      <c r="N928" s="245"/>
      <c r="O928"/>
      <c r="P928"/>
      <c r="Q928"/>
      <c r="R928"/>
    </row>
    <row r="929" spans="5:18">
      <c r="E929" s="244"/>
      <c r="F929" s="244"/>
      <c r="G929" s="244"/>
      <c r="H929" s="244"/>
      <c r="I929"/>
      <c r="J929"/>
      <c r="K929"/>
      <c r="L929"/>
      <c r="N929" s="245"/>
      <c r="O929"/>
      <c r="P929"/>
      <c r="Q929"/>
      <c r="R929"/>
    </row>
    <row r="930" spans="5:18">
      <c r="E930" s="244"/>
      <c r="F930" s="244"/>
      <c r="G930" s="244"/>
      <c r="H930" s="244"/>
      <c r="I930"/>
      <c r="J930"/>
      <c r="K930"/>
      <c r="L930"/>
      <c r="N930" s="245"/>
      <c r="O930"/>
      <c r="P930"/>
      <c r="Q930"/>
      <c r="R930"/>
    </row>
    <row r="931" spans="5:18">
      <c r="E931" s="244"/>
      <c r="F931" s="244"/>
      <c r="G931" s="244"/>
      <c r="H931" s="244"/>
      <c r="I931"/>
      <c r="J931"/>
      <c r="K931"/>
      <c r="L931"/>
      <c r="N931" s="245"/>
      <c r="O931"/>
      <c r="P931"/>
      <c r="Q931"/>
      <c r="R931"/>
    </row>
    <row r="932" spans="5:18">
      <c r="E932" s="244"/>
      <c r="F932" s="244"/>
      <c r="G932" s="244"/>
      <c r="H932" s="244"/>
      <c r="I932"/>
      <c r="J932"/>
      <c r="K932"/>
      <c r="L932"/>
      <c r="N932" s="245"/>
      <c r="O932"/>
      <c r="P932"/>
      <c r="Q932"/>
      <c r="R932"/>
    </row>
    <row r="933" spans="5:18">
      <c r="E933" s="244"/>
      <c r="F933" s="244"/>
      <c r="G933" s="244"/>
      <c r="H933" s="244"/>
      <c r="I933"/>
      <c r="J933"/>
      <c r="K933"/>
      <c r="L933"/>
      <c r="N933" s="245"/>
      <c r="O933"/>
      <c r="P933"/>
      <c r="Q933"/>
      <c r="R933"/>
    </row>
    <row r="934" spans="5:18">
      <c r="E934" s="244"/>
      <c r="F934" s="244"/>
      <c r="G934" s="244"/>
      <c r="H934" s="244"/>
      <c r="I934"/>
      <c r="J934"/>
      <c r="K934"/>
      <c r="L934"/>
      <c r="N934" s="245"/>
      <c r="O934"/>
      <c r="P934"/>
      <c r="Q934"/>
      <c r="R934"/>
    </row>
    <row r="935" spans="5:18">
      <c r="E935" s="244"/>
      <c r="F935" s="244"/>
      <c r="G935" s="244"/>
      <c r="H935" s="244"/>
      <c r="I935"/>
      <c r="J935"/>
      <c r="K935"/>
      <c r="L935"/>
      <c r="N935" s="245"/>
      <c r="O935"/>
      <c r="P935"/>
      <c r="Q935"/>
      <c r="R935"/>
    </row>
    <row r="936" spans="5:18">
      <c r="E936" s="244"/>
      <c r="F936" s="244"/>
      <c r="G936" s="244"/>
      <c r="H936" s="244"/>
      <c r="I936"/>
      <c r="J936"/>
      <c r="K936"/>
      <c r="L936"/>
      <c r="N936" s="245"/>
      <c r="O936"/>
      <c r="P936"/>
      <c r="Q936"/>
      <c r="R936"/>
    </row>
    <row r="937" spans="5:18">
      <c r="E937" s="244"/>
      <c r="F937" s="244"/>
      <c r="G937" s="244"/>
      <c r="H937" s="244"/>
      <c r="I937"/>
      <c r="J937"/>
      <c r="K937"/>
      <c r="L937"/>
      <c r="N937" s="245"/>
      <c r="O937"/>
      <c r="P937"/>
      <c r="Q937"/>
      <c r="R937"/>
    </row>
    <row r="938" spans="5:18">
      <c r="E938" s="244"/>
      <c r="F938" s="244"/>
      <c r="G938" s="244"/>
      <c r="H938" s="244"/>
      <c r="I938"/>
      <c r="J938"/>
      <c r="K938"/>
      <c r="L938"/>
      <c r="N938" s="245"/>
      <c r="O938"/>
      <c r="P938"/>
      <c r="Q938"/>
      <c r="R938"/>
    </row>
    <row r="939" spans="5:18">
      <c r="E939" s="244"/>
      <c r="F939" s="244"/>
      <c r="G939" s="244"/>
      <c r="H939" s="244"/>
      <c r="I939"/>
      <c r="J939"/>
      <c r="K939"/>
      <c r="L939"/>
      <c r="N939" s="245"/>
      <c r="O939"/>
      <c r="P939"/>
      <c r="Q939"/>
      <c r="R939"/>
    </row>
    <row r="940" spans="5:18">
      <c r="E940" s="244"/>
      <c r="F940" s="244"/>
      <c r="G940" s="244"/>
      <c r="H940" s="244"/>
      <c r="I940"/>
      <c r="J940"/>
      <c r="K940"/>
      <c r="L940"/>
      <c r="N940" s="245"/>
      <c r="O940"/>
      <c r="P940"/>
      <c r="Q940"/>
      <c r="R940"/>
    </row>
    <row r="941" spans="5:18">
      <c r="E941" s="244"/>
      <c r="F941" s="244"/>
      <c r="G941" s="244"/>
      <c r="H941" s="244"/>
      <c r="I941"/>
      <c r="J941"/>
      <c r="K941"/>
      <c r="L941"/>
      <c r="N941" s="245"/>
      <c r="O941"/>
      <c r="P941"/>
      <c r="Q941"/>
      <c r="R941"/>
    </row>
    <row r="942" spans="5:18">
      <c r="E942" s="244"/>
      <c r="F942" s="244"/>
      <c r="G942" s="244"/>
      <c r="H942" s="244"/>
      <c r="I942"/>
      <c r="J942"/>
      <c r="K942"/>
      <c r="L942"/>
      <c r="N942" s="245"/>
      <c r="O942"/>
      <c r="P942"/>
      <c r="Q942"/>
      <c r="R942"/>
    </row>
    <row r="943" spans="5:18">
      <c r="E943" s="244"/>
      <c r="F943" s="244"/>
      <c r="G943" s="244"/>
      <c r="H943" s="244"/>
      <c r="I943"/>
      <c r="J943"/>
      <c r="K943"/>
      <c r="L943"/>
      <c r="N943" s="245"/>
      <c r="O943"/>
      <c r="P943"/>
      <c r="Q943"/>
      <c r="R943"/>
    </row>
    <row r="944" spans="5:18">
      <c r="E944" s="244"/>
      <c r="F944" s="244"/>
      <c r="G944" s="244"/>
      <c r="H944" s="244"/>
      <c r="I944"/>
      <c r="J944"/>
      <c r="K944"/>
      <c r="L944"/>
      <c r="N944" s="245"/>
      <c r="O944"/>
      <c r="P944"/>
      <c r="Q944"/>
      <c r="R944"/>
    </row>
    <row r="945" spans="5:18">
      <c r="E945" s="244"/>
      <c r="F945" s="244"/>
      <c r="G945" s="244"/>
      <c r="H945" s="244"/>
      <c r="I945"/>
      <c r="J945"/>
      <c r="K945"/>
      <c r="L945"/>
      <c r="N945" s="245"/>
      <c r="O945"/>
      <c r="P945"/>
      <c r="Q945"/>
      <c r="R945"/>
    </row>
    <row r="946" spans="5:18">
      <c r="E946" s="244"/>
      <c r="F946" s="244"/>
      <c r="G946" s="244"/>
      <c r="H946" s="244"/>
      <c r="I946"/>
      <c r="J946"/>
      <c r="K946"/>
      <c r="L946"/>
      <c r="N946" s="245"/>
      <c r="O946"/>
      <c r="P946"/>
      <c r="Q946"/>
      <c r="R946"/>
    </row>
    <row r="947" spans="5:18">
      <c r="E947" s="244"/>
      <c r="F947" s="244"/>
      <c r="G947" s="244"/>
      <c r="H947" s="244"/>
      <c r="I947"/>
      <c r="J947"/>
      <c r="K947"/>
      <c r="L947"/>
      <c r="N947" s="245"/>
      <c r="O947"/>
      <c r="P947"/>
      <c r="Q947"/>
      <c r="R947"/>
    </row>
    <row r="948" spans="5:18">
      <c r="E948" s="244"/>
      <c r="F948" s="244"/>
      <c r="G948" s="244"/>
      <c r="H948" s="244"/>
      <c r="I948"/>
      <c r="J948"/>
      <c r="K948"/>
      <c r="L948"/>
      <c r="N948" s="245"/>
      <c r="O948"/>
      <c r="P948"/>
      <c r="Q948"/>
      <c r="R948"/>
    </row>
    <row r="949" spans="5:18">
      <c r="E949" s="244"/>
      <c r="F949" s="244"/>
      <c r="G949" s="244"/>
      <c r="H949" s="244"/>
      <c r="I949"/>
      <c r="J949"/>
      <c r="K949"/>
      <c r="L949"/>
      <c r="N949" s="245"/>
      <c r="O949"/>
      <c r="P949"/>
      <c r="Q949"/>
      <c r="R949"/>
    </row>
    <row r="950" spans="5:18">
      <c r="E950" s="244"/>
      <c r="F950" s="244"/>
      <c r="G950" s="244"/>
      <c r="H950" s="244"/>
      <c r="I950"/>
      <c r="J950"/>
      <c r="K950"/>
      <c r="L950"/>
      <c r="N950" s="245"/>
      <c r="O950"/>
      <c r="P950"/>
      <c r="Q950"/>
      <c r="R950"/>
    </row>
    <row r="951" spans="5:18">
      <c r="E951" s="244"/>
      <c r="F951" s="244"/>
      <c r="G951" s="244"/>
      <c r="H951" s="244"/>
      <c r="I951"/>
      <c r="J951"/>
      <c r="K951"/>
      <c r="L951"/>
      <c r="N951" s="245"/>
      <c r="O951"/>
      <c r="P951"/>
      <c r="Q951"/>
      <c r="R951"/>
    </row>
    <row r="952" spans="5:18">
      <c r="E952" s="244"/>
      <c r="F952" s="244"/>
      <c r="G952" s="244"/>
      <c r="H952" s="244"/>
      <c r="I952"/>
      <c r="J952"/>
      <c r="K952"/>
      <c r="L952"/>
      <c r="N952" s="245"/>
      <c r="O952"/>
      <c r="P952"/>
      <c r="Q952"/>
      <c r="R952"/>
    </row>
    <row r="953" spans="5:18">
      <c r="E953" s="244"/>
      <c r="F953" s="244"/>
      <c r="G953" s="244"/>
      <c r="H953" s="244"/>
      <c r="I953"/>
      <c r="J953"/>
      <c r="K953"/>
      <c r="L953"/>
      <c r="N953" s="245"/>
      <c r="O953"/>
      <c r="P953"/>
      <c r="Q953"/>
      <c r="R953"/>
    </row>
    <row r="954" spans="5:18">
      <c r="E954" s="244"/>
      <c r="F954" s="244"/>
      <c r="G954" s="244"/>
      <c r="H954" s="244"/>
      <c r="I954"/>
      <c r="J954"/>
      <c r="K954"/>
      <c r="L954"/>
      <c r="N954" s="245"/>
      <c r="O954"/>
      <c r="P954"/>
      <c r="Q954"/>
      <c r="R954"/>
    </row>
    <row r="955" spans="5:18">
      <c r="E955" s="244"/>
      <c r="F955" s="244"/>
      <c r="G955" s="244"/>
      <c r="H955" s="244"/>
      <c r="I955"/>
      <c r="J955"/>
      <c r="K955"/>
      <c r="L955"/>
      <c r="N955" s="245"/>
      <c r="O955"/>
      <c r="P955"/>
      <c r="Q955"/>
      <c r="R955"/>
    </row>
    <row r="956" spans="5:18">
      <c r="E956" s="244"/>
      <c r="F956" s="244"/>
      <c r="G956" s="244"/>
      <c r="H956" s="244"/>
      <c r="I956"/>
      <c r="J956"/>
      <c r="K956"/>
      <c r="L956"/>
      <c r="N956" s="245"/>
      <c r="O956"/>
      <c r="P956"/>
      <c r="Q956"/>
      <c r="R956"/>
    </row>
    <row r="957" spans="5:18">
      <c r="E957" s="244"/>
      <c r="F957" s="244"/>
      <c r="G957" s="244"/>
      <c r="H957" s="244"/>
      <c r="I957"/>
      <c r="J957"/>
      <c r="K957"/>
      <c r="L957"/>
      <c r="N957" s="245"/>
      <c r="O957"/>
      <c r="P957"/>
      <c r="Q957"/>
      <c r="R957"/>
    </row>
    <row r="958" spans="5:18">
      <c r="E958" s="244"/>
      <c r="F958" s="244"/>
      <c r="G958" s="244"/>
      <c r="H958" s="244"/>
      <c r="I958"/>
      <c r="J958"/>
      <c r="K958"/>
      <c r="L958"/>
      <c r="N958" s="245"/>
      <c r="O958"/>
      <c r="P958"/>
      <c r="Q958"/>
      <c r="R958"/>
    </row>
    <row r="959" spans="5:18">
      <c r="E959" s="244"/>
      <c r="F959" s="244"/>
      <c r="G959" s="244"/>
      <c r="H959" s="244"/>
      <c r="I959"/>
      <c r="J959"/>
      <c r="K959"/>
      <c r="L959"/>
      <c r="N959" s="245"/>
      <c r="O959"/>
      <c r="P959"/>
      <c r="Q959"/>
      <c r="R959"/>
    </row>
    <row r="960" spans="5:18">
      <c r="E960" s="244"/>
      <c r="F960" s="244"/>
      <c r="G960" s="244"/>
      <c r="H960" s="244"/>
      <c r="I960"/>
      <c r="J960"/>
      <c r="K960"/>
      <c r="L960"/>
      <c r="N960" s="245"/>
      <c r="O960"/>
      <c r="P960"/>
      <c r="Q960"/>
      <c r="R960"/>
    </row>
    <row r="961" spans="5:18">
      <c r="E961" s="244"/>
      <c r="F961" s="244"/>
      <c r="G961" s="244"/>
      <c r="H961" s="244"/>
      <c r="I961"/>
      <c r="J961"/>
      <c r="K961"/>
      <c r="L961"/>
      <c r="N961" s="245"/>
      <c r="O961"/>
      <c r="P961"/>
      <c r="Q961"/>
      <c r="R961"/>
    </row>
    <row r="962" spans="5:18">
      <c r="E962" s="244"/>
      <c r="F962" s="244"/>
      <c r="G962" s="244"/>
      <c r="H962" s="244"/>
      <c r="I962"/>
      <c r="J962"/>
      <c r="K962"/>
      <c r="L962"/>
      <c r="N962" s="245"/>
      <c r="O962"/>
      <c r="P962"/>
      <c r="Q962"/>
      <c r="R962"/>
    </row>
    <row r="963" spans="5:18">
      <c r="E963" s="244"/>
      <c r="F963" s="244"/>
      <c r="G963" s="244"/>
      <c r="H963" s="244"/>
      <c r="I963"/>
      <c r="J963"/>
      <c r="K963"/>
      <c r="L963"/>
      <c r="N963" s="245"/>
      <c r="O963"/>
      <c r="P963"/>
      <c r="Q963"/>
      <c r="R963"/>
    </row>
    <row r="964" spans="5:18">
      <c r="E964" s="244"/>
      <c r="F964" s="244"/>
      <c r="G964" s="244"/>
      <c r="H964" s="244"/>
      <c r="I964"/>
      <c r="J964"/>
      <c r="K964"/>
      <c r="L964"/>
      <c r="N964" s="245"/>
      <c r="O964"/>
      <c r="P964"/>
      <c r="Q964"/>
      <c r="R964"/>
    </row>
    <row r="965" spans="5:18">
      <c r="E965" s="244"/>
      <c r="F965" s="244"/>
      <c r="G965" s="244"/>
      <c r="H965" s="244"/>
      <c r="I965"/>
      <c r="J965"/>
      <c r="K965"/>
      <c r="L965"/>
      <c r="N965" s="245"/>
      <c r="O965"/>
      <c r="P965"/>
      <c r="Q965"/>
      <c r="R965"/>
    </row>
    <row r="966" spans="5:18">
      <c r="E966" s="244"/>
      <c r="F966" s="244"/>
      <c r="G966" s="244"/>
      <c r="H966" s="244"/>
      <c r="I966"/>
      <c r="J966"/>
      <c r="K966"/>
      <c r="L966"/>
      <c r="N966" s="245"/>
      <c r="O966"/>
      <c r="P966"/>
      <c r="Q966"/>
      <c r="R966"/>
    </row>
    <row r="967" spans="5:18">
      <c r="E967" s="244"/>
      <c r="F967" s="244"/>
      <c r="G967" s="244"/>
      <c r="H967" s="244"/>
      <c r="I967"/>
      <c r="J967"/>
      <c r="K967"/>
      <c r="L967"/>
      <c r="N967" s="245"/>
      <c r="O967"/>
      <c r="P967"/>
      <c r="Q967"/>
      <c r="R967"/>
    </row>
    <row r="968" spans="5:18">
      <c r="E968" s="244"/>
      <c r="F968" s="244"/>
      <c r="G968" s="244"/>
      <c r="H968" s="244"/>
      <c r="I968"/>
      <c r="J968"/>
      <c r="K968"/>
      <c r="L968"/>
      <c r="N968" s="245"/>
      <c r="O968"/>
      <c r="P968"/>
      <c r="Q968"/>
      <c r="R968"/>
    </row>
    <row r="969" spans="5:18">
      <c r="E969" s="244"/>
      <c r="F969" s="244"/>
      <c r="G969" s="244"/>
      <c r="H969" s="244"/>
      <c r="I969"/>
      <c r="J969"/>
      <c r="K969"/>
      <c r="L969"/>
      <c r="N969" s="245"/>
      <c r="O969"/>
      <c r="P969"/>
      <c r="Q969"/>
      <c r="R969"/>
    </row>
    <row r="970" spans="5:18">
      <c r="E970" s="244"/>
      <c r="F970" s="244"/>
      <c r="G970" s="244"/>
      <c r="H970" s="244"/>
      <c r="I970"/>
      <c r="J970"/>
      <c r="K970"/>
      <c r="L970"/>
      <c r="N970" s="245"/>
      <c r="O970"/>
      <c r="P970"/>
      <c r="Q970"/>
      <c r="R970"/>
    </row>
    <row r="971" spans="5:18">
      <c r="E971" s="244"/>
      <c r="F971" s="244"/>
      <c r="G971" s="244"/>
      <c r="H971" s="244"/>
      <c r="I971"/>
      <c r="J971"/>
      <c r="K971"/>
      <c r="L971"/>
      <c r="N971" s="245"/>
      <c r="O971"/>
      <c r="P971"/>
      <c r="Q971"/>
      <c r="R971"/>
    </row>
    <row r="972" spans="5:18">
      <c r="E972" s="244"/>
      <c r="F972" s="244"/>
      <c r="G972" s="244"/>
      <c r="H972" s="244"/>
      <c r="I972"/>
      <c r="J972"/>
      <c r="K972"/>
      <c r="L972"/>
      <c r="N972" s="245"/>
      <c r="O972"/>
      <c r="P972"/>
      <c r="Q972"/>
      <c r="R972"/>
    </row>
    <row r="973" spans="5:18">
      <c r="E973" s="244"/>
      <c r="F973" s="244"/>
      <c r="G973" s="244"/>
      <c r="H973" s="244"/>
      <c r="I973"/>
      <c r="J973"/>
      <c r="K973"/>
      <c r="L973"/>
      <c r="N973" s="245"/>
      <c r="O973"/>
      <c r="P973"/>
      <c r="Q973"/>
      <c r="R973"/>
    </row>
    <row r="974" spans="5:18">
      <c r="E974" s="244"/>
      <c r="F974" s="244"/>
      <c r="G974" s="244"/>
      <c r="H974" s="244"/>
      <c r="I974"/>
      <c r="J974"/>
      <c r="K974"/>
      <c r="L974"/>
      <c r="N974" s="245"/>
      <c r="O974"/>
      <c r="P974"/>
      <c r="Q974"/>
      <c r="R974"/>
    </row>
    <row r="975" spans="5:18">
      <c r="E975" s="244"/>
      <c r="F975" s="244"/>
      <c r="G975" s="244"/>
      <c r="H975" s="244"/>
      <c r="I975"/>
      <c r="J975"/>
      <c r="K975"/>
      <c r="L975"/>
      <c r="N975" s="245"/>
      <c r="O975"/>
      <c r="P975"/>
      <c r="Q975"/>
      <c r="R975"/>
    </row>
    <row r="976" spans="5:18">
      <c r="E976" s="244"/>
      <c r="F976" s="244"/>
      <c r="G976" s="244"/>
      <c r="H976" s="244"/>
      <c r="I976"/>
      <c r="J976"/>
      <c r="K976"/>
      <c r="L976"/>
      <c r="N976" s="245"/>
      <c r="O976"/>
      <c r="P976"/>
      <c r="Q976"/>
      <c r="R976"/>
    </row>
    <row r="977" spans="5:18">
      <c r="E977" s="244"/>
      <c r="F977" s="244"/>
      <c r="G977" s="244"/>
      <c r="H977" s="244"/>
      <c r="I977"/>
      <c r="J977"/>
      <c r="K977"/>
      <c r="L977"/>
      <c r="N977" s="245"/>
      <c r="O977"/>
      <c r="P977"/>
      <c r="Q977"/>
      <c r="R977"/>
    </row>
    <row r="978" spans="5:18">
      <c r="E978" s="244"/>
      <c r="F978" s="244"/>
      <c r="G978" s="244"/>
      <c r="H978" s="244"/>
      <c r="I978"/>
      <c r="J978"/>
      <c r="K978"/>
      <c r="L978"/>
      <c r="N978" s="245"/>
      <c r="O978"/>
      <c r="P978"/>
      <c r="Q978"/>
      <c r="R978"/>
    </row>
    <row r="979" spans="5:18">
      <c r="E979" s="244"/>
      <c r="F979" s="244"/>
      <c r="G979" s="244"/>
      <c r="H979" s="244"/>
      <c r="I979"/>
      <c r="J979"/>
      <c r="K979"/>
      <c r="L979"/>
      <c r="N979" s="245"/>
      <c r="O979"/>
      <c r="P979"/>
      <c r="Q979"/>
      <c r="R979"/>
    </row>
    <row r="980" spans="5:18">
      <c r="E980" s="244"/>
      <c r="F980" s="244"/>
      <c r="G980" s="244"/>
      <c r="H980" s="244"/>
      <c r="I980"/>
      <c r="J980"/>
      <c r="K980"/>
      <c r="L980"/>
      <c r="N980" s="245"/>
      <c r="O980"/>
      <c r="P980"/>
      <c r="Q980"/>
      <c r="R980"/>
    </row>
    <row r="981" spans="5:18">
      <c r="E981" s="244"/>
      <c r="F981" s="244"/>
      <c r="G981" s="244"/>
      <c r="H981" s="244"/>
      <c r="I981"/>
      <c r="J981"/>
      <c r="K981"/>
      <c r="L981"/>
      <c r="N981" s="245"/>
      <c r="O981"/>
      <c r="P981"/>
      <c r="Q981"/>
      <c r="R981"/>
    </row>
    <row r="982" spans="5:18">
      <c r="E982" s="244"/>
      <c r="F982" s="244"/>
      <c r="G982" s="244"/>
      <c r="H982" s="244"/>
      <c r="I982"/>
      <c r="J982"/>
      <c r="K982"/>
      <c r="L982"/>
      <c r="N982" s="245"/>
      <c r="O982"/>
      <c r="P982"/>
      <c r="Q982"/>
      <c r="R982"/>
    </row>
    <row r="983" spans="5:18">
      <c r="E983" s="244"/>
      <c r="F983" s="244"/>
      <c r="G983" s="244"/>
      <c r="H983" s="244"/>
      <c r="I983"/>
      <c r="J983"/>
      <c r="K983"/>
      <c r="L983"/>
      <c r="N983" s="245"/>
      <c r="O983"/>
      <c r="P983"/>
      <c r="Q983"/>
      <c r="R983"/>
    </row>
    <row r="984" spans="5:18">
      <c r="E984" s="244"/>
      <c r="F984" s="244"/>
      <c r="G984" s="244"/>
      <c r="H984" s="244"/>
      <c r="I984"/>
      <c r="J984"/>
      <c r="K984"/>
      <c r="L984"/>
      <c r="N984" s="245"/>
      <c r="O984"/>
      <c r="P984"/>
      <c r="Q984"/>
      <c r="R984"/>
    </row>
    <row r="985" spans="5:18">
      <c r="E985" s="244"/>
      <c r="F985" s="244"/>
      <c r="G985" s="244"/>
      <c r="H985" s="244"/>
      <c r="I985"/>
      <c r="J985"/>
      <c r="K985"/>
      <c r="L985"/>
      <c r="N985" s="245"/>
      <c r="O985"/>
      <c r="P985"/>
      <c r="Q985"/>
      <c r="R985"/>
    </row>
    <row r="986" spans="5:18">
      <c r="E986" s="244"/>
      <c r="F986" s="244"/>
      <c r="G986" s="244"/>
      <c r="H986" s="244"/>
      <c r="I986"/>
      <c r="J986"/>
      <c r="K986"/>
      <c r="L986"/>
      <c r="N986" s="245"/>
      <c r="O986"/>
      <c r="P986"/>
      <c r="Q986"/>
      <c r="R986"/>
    </row>
    <row r="987" spans="5:18">
      <c r="E987" s="244"/>
      <c r="F987" s="244"/>
      <c r="G987" s="244"/>
      <c r="H987" s="244"/>
      <c r="I987"/>
      <c r="J987"/>
      <c r="K987"/>
      <c r="L987"/>
      <c r="N987" s="245"/>
      <c r="O987"/>
      <c r="P987"/>
      <c r="Q987"/>
      <c r="R987"/>
    </row>
    <row r="988" spans="5:18">
      <c r="E988" s="244"/>
      <c r="F988" s="244"/>
      <c r="G988" s="244"/>
      <c r="H988" s="244"/>
      <c r="I988"/>
      <c r="J988"/>
      <c r="K988"/>
      <c r="L988"/>
      <c r="N988" s="245"/>
      <c r="O988"/>
      <c r="P988"/>
      <c r="Q988"/>
      <c r="R988"/>
    </row>
    <row r="989" spans="5:18">
      <c r="E989" s="244"/>
      <c r="F989" s="244"/>
      <c r="G989" s="244"/>
      <c r="H989" s="244"/>
      <c r="I989"/>
      <c r="J989"/>
      <c r="K989"/>
      <c r="L989"/>
      <c r="N989" s="245"/>
      <c r="O989"/>
      <c r="P989"/>
      <c r="Q989"/>
      <c r="R989"/>
    </row>
    <row r="990" spans="5:18">
      <c r="E990" s="244"/>
      <c r="F990" s="244"/>
      <c r="G990" s="244"/>
      <c r="H990" s="244"/>
      <c r="I990"/>
      <c r="J990"/>
      <c r="K990"/>
      <c r="L990"/>
      <c r="N990" s="245"/>
      <c r="O990"/>
      <c r="P990"/>
      <c r="Q990"/>
      <c r="R990"/>
    </row>
    <row r="991" spans="5:18">
      <c r="E991" s="244"/>
      <c r="F991" s="244"/>
      <c r="G991" s="244"/>
      <c r="H991" s="244"/>
      <c r="I991"/>
      <c r="J991"/>
      <c r="K991"/>
      <c r="L991"/>
      <c r="N991" s="245"/>
      <c r="O991"/>
      <c r="P991"/>
      <c r="Q991"/>
      <c r="R991"/>
    </row>
    <row r="992" spans="5:18">
      <c r="E992" s="244"/>
      <c r="F992" s="244"/>
      <c r="G992" s="244"/>
      <c r="H992" s="244"/>
      <c r="I992"/>
      <c r="J992"/>
      <c r="K992"/>
      <c r="L992"/>
      <c r="N992" s="245"/>
      <c r="O992"/>
      <c r="P992"/>
      <c r="Q992"/>
      <c r="R992"/>
    </row>
    <row r="993" spans="5:18">
      <c r="E993" s="244"/>
      <c r="F993" s="244"/>
      <c r="G993" s="244"/>
      <c r="H993" s="244"/>
      <c r="I993"/>
      <c r="J993"/>
      <c r="K993"/>
      <c r="L993"/>
      <c r="N993" s="245"/>
      <c r="O993"/>
      <c r="P993"/>
      <c r="Q993"/>
      <c r="R993"/>
    </row>
    <row r="994" spans="5:18">
      <c r="E994" s="244"/>
      <c r="F994" s="244"/>
      <c r="G994" s="244"/>
      <c r="H994" s="244"/>
      <c r="I994"/>
      <c r="J994"/>
      <c r="K994"/>
      <c r="L994"/>
      <c r="N994" s="245"/>
      <c r="O994"/>
      <c r="P994"/>
      <c r="Q994"/>
      <c r="R994"/>
    </row>
    <row r="995" spans="5:18">
      <c r="E995" s="244"/>
      <c r="F995" s="244"/>
      <c r="G995" s="244"/>
      <c r="H995" s="244"/>
      <c r="I995"/>
      <c r="J995"/>
      <c r="K995"/>
      <c r="L995"/>
      <c r="N995" s="245"/>
      <c r="O995"/>
      <c r="P995"/>
      <c r="Q995"/>
      <c r="R995"/>
    </row>
    <row r="996" spans="5:18">
      <c r="E996" s="244"/>
      <c r="F996" s="244"/>
      <c r="G996" s="244"/>
      <c r="H996" s="244"/>
      <c r="I996"/>
      <c r="J996"/>
      <c r="K996"/>
      <c r="L996"/>
      <c r="N996" s="245"/>
      <c r="O996"/>
      <c r="P996"/>
      <c r="Q996"/>
      <c r="R996"/>
    </row>
    <row r="997" spans="5:18">
      <c r="E997" s="244"/>
      <c r="F997" s="244"/>
      <c r="G997" s="244"/>
      <c r="H997" s="244"/>
      <c r="I997"/>
      <c r="J997"/>
      <c r="K997"/>
      <c r="L997"/>
      <c r="N997" s="245"/>
      <c r="O997"/>
      <c r="P997"/>
      <c r="Q997"/>
      <c r="R997"/>
    </row>
    <row r="998" spans="5:18">
      <c r="E998" s="244"/>
      <c r="F998" s="244"/>
      <c r="G998" s="244"/>
      <c r="H998" s="244"/>
      <c r="I998"/>
      <c r="J998"/>
      <c r="K998"/>
      <c r="L998"/>
      <c r="N998" s="245"/>
      <c r="O998"/>
      <c r="P998"/>
      <c r="Q998"/>
      <c r="R998"/>
    </row>
    <row r="999" spans="5:18">
      <c r="E999" s="244"/>
      <c r="F999" s="244"/>
      <c r="G999" s="244"/>
      <c r="H999" s="244"/>
      <c r="I999"/>
      <c r="J999"/>
      <c r="K999"/>
      <c r="L999"/>
      <c r="N999" s="245"/>
      <c r="O999"/>
      <c r="P999"/>
      <c r="Q999"/>
      <c r="R999"/>
    </row>
    <row r="1000" spans="5:18">
      <c r="E1000" s="244"/>
      <c r="F1000" s="244"/>
      <c r="G1000" s="244"/>
      <c r="H1000" s="244"/>
      <c r="I1000"/>
      <c r="J1000"/>
      <c r="K1000"/>
      <c r="L1000"/>
      <c r="N1000" s="245"/>
      <c r="O1000"/>
      <c r="P1000"/>
      <c r="Q1000"/>
      <c r="R1000"/>
    </row>
    <row r="1001" spans="5:18">
      <c r="E1001" s="244"/>
      <c r="F1001" s="244"/>
      <c r="G1001" s="244"/>
      <c r="H1001" s="244"/>
      <c r="I1001"/>
      <c r="J1001"/>
      <c r="K1001"/>
      <c r="L1001"/>
      <c r="N1001" s="245"/>
      <c r="O1001"/>
      <c r="P1001"/>
      <c r="Q1001"/>
      <c r="R1001"/>
    </row>
    <row r="1002" spans="5:18">
      <c r="E1002" s="273">
        <f t="shared" ref="E1002:L1002" si="0">AVERAGE(E2:E1001)</f>
        <v>41675.62990026793</v>
      </c>
      <c r="F1002" s="273">
        <f t="shared" si="0"/>
        <v>3313.4544767926386</v>
      </c>
      <c r="G1002" s="273">
        <f t="shared" si="0"/>
        <v>425927.35274714365</v>
      </c>
      <c r="H1002" s="273">
        <f t="shared" si="0"/>
        <v>42288.163461154829</v>
      </c>
      <c r="I1002" s="270">
        <f t="shared" si="0"/>
        <v>1.0157245940789277</v>
      </c>
      <c r="J1002" s="269">
        <f t="shared" si="0"/>
        <v>10.248256691165125</v>
      </c>
      <c r="K1002" s="274">
        <f t="shared" si="0"/>
        <v>7.7804991909038142E-3</v>
      </c>
      <c r="L1002" s="248">
        <f t="shared" si="0"/>
        <v>7.9684335568801903E-2</v>
      </c>
      <c r="N1002" s="248"/>
      <c r="O1002" s="270">
        <f t="shared" ref="O1002:R1002" si="1">AVERAGE(O2:O1001)</f>
        <v>1.0179217170614836</v>
      </c>
      <c r="P1002" s="269">
        <f t="shared" si="1"/>
        <v>10.248256691165125</v>
      </c>
      <c r="Q1002" s="274">
        <f t="shared" si="1"/>
        <v>7.7804991909038142E-3</v>
      </c>
      <c r="R1002" s="248">
        <f t="shared" si="1"/>
        <v>7.9684335568801903E-2</v>
      </c>
    </row>
    <row r="1003" spans="5:18">
      <c r="E1003" s="219">
        <f t="shared" ref="E1003:L1003" si="2">COUNT(E2:E1001)</f>
        <v>16</v>
      </c>
      <c r="F1003" s="219">
        <f t="shared" si="2"/>
        <v>16</v>
      </c>
      <c r="G1003" s="219">
        <f t="shared" si="2"/>
        <v>16</v>
      </c>
      <c r="H1003" s="219">
        <f t="shared" si="2"/>
        <v>16</v>
      </c>
      <c r="I1003" s="219">
        <f t="shared" si="2"/>
        <v>15</v>
      </c>
      <c r="J1003" s="219">
        <f t="shared" si="2"/>
        <v>16</v>
      </c>
      <c r="K1003" s="219">
        <f t="shared" si="2"/>
        <v>16</v>
      </c>
      <c r="L1003" s="219">
        <f t="shared" si="2"/>
        <v>16</v>
      </c>
      <c r="N1003" s="219"/>
      <c r="O1003" s="219">
        <f t="shared" ref="O1003:R1003" si="3">COUNT(O2:O1001)</f>
        <v>16</v>
      </c>
      <c r="P1003" s="219">
        <f t="shared" si="3"/>
        <v>16</v>
      </c>
      <c r="Q1003" s="219">
        <f t="shared" si="3"/>
        <v>16</v>
      </c>
      <c r="R1003" s="219">
        <f t="shared" si="3"/>
        <v>16</v>
      </c>
    </row>
    <row r="1004" spans="5:18">
      <c r="E1004" s="219">
        <f t="shared" ref="E1004:L1004" si="4">STDEV(E2:E1001)</f>
        <v>728.05253700502908</v>
      </c>
      <c r="F1004" s="219">
        <f t="shared" si="4"/>
        <v>68.855078743077328</v>
      </c>
      <c r="G1004" s="219">
        <f t="shared" si="4"/>
        <v>2685.9310012245469</v>
      </c>
      <c r="H1004" s="219">
        <f t="shared" si="4"/>
        <v>568.03237311118721</v>
      </c>
      <c r="I1004" s="219">
        <f t="shared" si="4"/>
        <v>1.2978627085001209E-2</v>
      </c>
      <c r="J1004" s="219">
        <f t="shared" si="4"/>
        <v>0.14185397310105674</v>
      </c>
      <c r="K1004" s="219">
        <f t="shared" si="4"/>
        <v>9.8476773934243485E-5</v>
      </c>
      <c r="L1004" s="219">
        <f t="shared" si="4"/>
        <v>1.2591239943973405E-3</v>
      </c>
      <c r="N1004" s="219"/>
      <c r="O1004" s="219">
        <f t="shared" ref="O1004:R1004" si="5">STDEV(O2:O1001)</f>
        <v>1.5311848375850015E-2</v>
      </c>
      <c r="P1004" s="219">
        <f t="shared" si="5"/>
        <v>0.14185397310105674</v>
      </c>
      <c r="Q1004" s="219">
        <f t="shared" si="5"/>
        <v>9.8476773934243485E-5</v>
      </c>
      <c r="R1004" s="219">
        <f t="shared" si="5"/>
        <v>1.2591239943973405E-3</v>
      </c>
    </row>
    <row r="1005" spans="5:18">
      <c r="E1005" s="219">
        <f t="shared" ref="E1005:L1005" si="6">2*(E1004/(E1003^0.5))</f>
        <v>364.02626850251454</v>
      </c>
      <c r="F1005" s="219">
        <f t="shared" si="6"/>
        <v>34.427539371538664</v>
      </c>
      <c r="G1005" s="219">
        <f t="shared" si="6"/>
        <v>1342.9655006122734</v>
      </c>
      <c r="H1005" s="219">
        <f t="shared" si="6"/>
        <v>284.01618655559361</v>
      </c>
      <c r="I1005" s="219">
        <f t="shared" si="6"/>
        <v>6.702134207579492E-3</v>
      </c>
      <c r="J1005" s="219">
        <f t="shared" si="6"/>
        <v>7.092698655052837E-2</v>
      </c>
      <c r="K1005" s="219">
        <f t="shared" si="6"/>
        <v>4.9238386967121742E-5</v>
      </c>
      <c r="L1005" s="219">
        <f t="shared" si="6"/>
        <v>6.2956199719867026E-4</v>
      </c>
      <c r="N1005" s="219"/>
      <c r="O1005" s="219">
        <f t="shared" ref="O1005:R1005" si="7">2*(O1004/(O1003^0.5))</f>
        <v>7.6559241879250077E-3</v>
      </c>
      <c r="P1005" s="219">
        <f t="shared" si="7"/>
        <v>7.092698655052837E-2</v>
      </c>
      <c r="Q1005" s="219">
        <f t="shared" si="7"/>
        <v>4.9238386967121742E-5</v>
      </c>
      <c r="R1005" s="219">
        <f t="shared" si="7"/>
        <v>6.2956199719867026E-4</v>
      </c>
    </row>
    <row r="1006" spans="5:18">
      <c r="E1006" s="249">
        <f t="shared" ref="E1006:L1006" si="8">E1005/E1002</f>
        <v>8.7347514452366867E-3</v>
      </c>
      <c r="F1006" s="249">
        <f t="shared" si="8"/>
        <v>1.0390225552416182E-2</v>
      </c>
      <c r="G1006" s="249">
        <f t="shared" si="8"/>
        <v>3.1530388737666709E-3</v>
      </c>
      <c r="H1006" s="249">
        <f t="shared" si="8"/>
        <v>6.7162100055843266E-3</v>
      </c>
      <c r="I1006" s="249">
        <f t="shared" si="8"/>
        <v>6.5983774013634814E-3</v>
      </c>
      <c r="J1006" s="249">
        <f t="shared" si="8"/>
        <v>6.9208831011886643E-3</v>
      </c>
      <c r="K1006" s="249">
        <f t="shared" si="8"/>
        <v>6.3284354588310178E-3</v>
      </c>
      <c r="L1006" s="249">
        <f t="shared" si="8"/>
        <v>7.9006995880023002E-3</v>
      </c>
      <c r="N1006" s="249"/>
      <c r="O1006" s="249">
        <f t="shared" ref="O1006:R1006" si="9">O1005/O1002</f>
        <v>7.5211325778822948E-3</v>
      </c>
      <c r="P1006" s="249">
        <f t="shared" si="9"/>
        <v>6.9208831011886643E-3</v>
      </c>
      <c r="Q1006" s="249">
        <f t="shared" si="9"/>
        <v>6.3284354588310178E-3</v>
      </c>
      <c r="R1006" s="249">
        <f t="shared" si="9"/>
        <v>7.9006995880023002E-3</v>
      </c>
    </row>
  </sheetData>
  <pageMargins left="0.75" right="0.75" top="1" bottom="1" header="0.5" footer="0.5"/>
  <pageSetup orientation="portrait" horizontalDpi="4294967292" verticalDpi="4294967292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1111111121131111111177"/>
  <dimension ref="A1:Z76"/>
  <sheetViews>
    <sheetView showGridLines="0" topLeftCell="A37" zoomScaleNormal="100" zoomScalePageLayoutView="75" workbookViewId="0">
      <selection activeCell="I63" sqref="I63"/>
    </sheetView>
  </sheetViews>
  <sheetFormatPr baseColWidth="10" defaultColWidth="10.25" defaultRowHeight="12.75" customHeight="1"/>
  <cols>
    <col min="1" max="1" width="18.25" style="11" customWidth="1"/>
    <col min="2" max="2" width="15" style="11" customWidth="1"/>
    <col min="3" max="3" width="12.75" style="46" customWidth="1"/>
    <col min="4" max="4" width="13.75" style="11" customWidth="1"/>
    <col min="5" max="5" width="13.25" style="11" customWidth="1"/>
    <col min="6" max="6" width="11.25" style="11" customWidth="1"/>
    <col min="7" max="7" width="6.25" style="11" customWidth="1"/>
    <col min="8" max="8" width="23.75" style="11" customWidth="1"/>
    <col min="9" max="9" width="17" style="11" customWidth="1"/>
    <col min="10" max="10" width="14.25" style="11" customWidth="1"/>
    <col min="11" max="11" width="9.25" style="11" customWidth="1"/>
    <col min="12" max="12" width="14.75" style="41" customWidth="1"/>
    <col min="13" max="13" width="5.25" style="46" customWidth="1"/>
    <col min="14" max="14" width="20.25" style="11" customWidth="1"/>
    <col min="15" max="15" width="5.25" style="43" customWidth="1"/>
    <col min="16" max="16" width="12.75" style="11" customWidth="1"/>
    <col min="17" max="17" width="17" style="11" customWidth="1"/>
    <col min="18" max="18" width="7.25" style="11" customWidth="1"/>
    <col min="19" max="19" width="6.25" style="11" customWidth="1"/>
    <col min="20" max="20" width="7.25" style="11" customWidth="1"/>
    <col min="21" max="16384" width="10.25" style="11"/>
  </cols>
  <sheetData>
    <row r="1" spans="1:21" ht="21.75" customHeight="1" thickTop="1">
      <c r="A1" s="72" t="s">
        <v>1</v>
      </c>
      <c r="B1" s="69"/>
      <c r="C1" s="238" t="s">
        <v>246</v>
      </c>
      <c r="D1" s="71"/>
      <c r="E1" s="4" t="s">
        <v>95</v>
      </c>
      <c r="F1" s="5"/>
      <c r="G1" s="6"/>
      <c r="H1" s="57"/>
      <c r="I1" s="3" t="s">
        <v>2</v>
      </c>
      <c r="J1" s="7">
        <f ca="1">TODAY()</f>
        <v>44049</v>
      </c>
      <c r="K1" s="8"/>
      <c r="L1" s="9"/>
      <c r="M1" s="10"/>
      <c r="N1" s="10"/>
      <c r="O1" s="10"/>
      <c r="P1" s="10"/>
      <c r="Q1" s="10"/>
      <c r="R1" s="10"/>
      <c r="S1" s="10"/>
      <c r="T1" s="10"/>
    </row>
    <row r="2" spans="1:21" ht="19.5" customHeight="1" thickBot="1">
      <c r="A2" s="73" t="s">
        <v>3</v>
      </c>
      <c r="B2" s="70" t="s">
        <v>118</v>
      </c>
      <c r="C2" s="239" t="str">
        <f>C1</f>
        <v>Sample No</v>
      </c>
      <c r="D2" s="12"/>
      <c r="E2" s="13" t="s">
        <v>96</v>
      </c>
      <c r="F2" s="14"/>
      <c r="G2" s="12"/>
      <c r="H2" s="172"/>
      <c r="I2" s="171"/>
      <c r="J2" s="170"/>
      <c r="K2" s="15"/>
      <c r="L2" s="9"/>
      <c r="M2" s="10"/>
      <c r="N2" s="10"/>
      <c r="O2" s="10"/>
      <c r="P2" s="10"/>
      <c r="Q2" s="10"/>
      <c r="R2" s="10"/>
      <c r="S2" s="10"/>
      <c r="T2" s="10"/>
    </row>
    <row r="3" spans="1:21" s="25" customFormat="1" ht="18" customHeight="1" thickTop="1">
      <c r="A3" s="16" t="s">
        <v>4</v>
      </c>
      <c r="B3" s="17"/>
      <c r="C3" s="18"/>
      <c r="D3" s="53"/>
      <c r="E3" s="19" t="s">
        <v>24</v>
      </c>
      <c r="F3" s="20"/>
      <c r="G3" s="20"/>
      <c r="H3" s="21"/>
      <c r="I3" s="21"/>
      <c r="J3" s="21"/>
      <c r="K3" s="22"/>
      <c r="L3" s="23"/>
      <c r="M3" s="24"/>
      <c r="N3" s="24"/>
      <c r="O3" s="24"/>
      <c r="P3" s="24"/>
      <c r="Q3" s="24"/>
      <c r="R3" s="24"/>
      <c r="S3" s="24"/>
      <c r="T3" s="24"/>
    </row>
    <row r="4" spans="1:21" s="25" customFormat="1" ht="15" customHeight="1">
      <c r="A4" s="26"/>
      <c r="B4" s="27"/>
      <c r="C4" s="28" t="s">
        <v>25</v>
      </c>
      <c r="D4" s="29"/>
      <c r="E4" s="30" t="s">
        <v>26</v>
      </c>
      <c r="F4" s="31"/>
      <c r="G4" s="31"/>
      <c r="H4" s="32"/>
      <c r="I4" s="33" t="s">
        <v>5</v>
      </c>
      <c r="J4" s="28"/>
      <c r="K4" s="34"/>
      <c r="L4" s="23"/>
      <c r="M4" s="24"/>
      <c r="N4" s="24"/>
      <c r="O4" s="24"/>
      <c r="P4" s="24"/>
      <c r="Q4" s="24"/>
      <c r="R4" s="24"/>
      <c r="S4" s="24"/>
      <c r="T4" s="24"/>
    </row>
    <row r="5" spans="1:21" ht="15" customHeight="1">
      <c r="A5" s="419">
        <v>1.4998379488658558</v>
      </c>
      <c r="B5" s="420" t="s">
        <v>247</v>
      </c>
      <c r="C5" s="421">
        <v>8.1290000000000001E-2</v>
      </c>
      <c r="D5" s="422">
        <v>5.0000000000000004E-6</v>
      </c>
      <c r="E5" s="423" t="s">
        <v>250</v>
      </c>
      <c r="F5" s="424"/>
      <c r="G5" s="425"/>
      <c r="H5" s="426" t="s">
        <v>27</v>
      </c>
      <c r="I5" s="427">
        <v>0.02</v>
      </c>
      <c r="J5" s="428">
        <v>0.02</v>
      </c>
      <c r="K5" s="429"/>
      <c r="L5" s="9"/>
      <c r="M5" s="10"/>
      <c r="N5" s="10"/>
      <c r="O5" s="10"/>
      <c r="P5" s="10"/>
      <c r="Q5" s="10"/>
      <c r="R5" s="10"/>
      <c r="S5" s="10"/>
      <c r="T5" s="10"/>
    </row>
    <row r="6" spans="1:21" ht="15" customHeight="1">
      <c r="A6" s="430"/>
      <c r="B6" s="431" t="s">
        <v>249</v>
      </c>
      <c r="C6" s="421">
        <v>0.63261999999999996</v>
      </c>
      <c r="D6" s="422">
        <v>5.0000000000000004E-6</v>
      </c>
      <c r="E6" s="432">
        <v>0.78764000000000001</v>
      </c>
      <c r="F6" s="433">
        <v>2.0000000000000001E-4</v>
      </c>
      <c r="G6" s="434" t="s">
        <v>150</v>
      </c>
      <c r="H6" s="426" t="s">
        <v>28</v>
      </c>
      <c r="I6" s="427">
        <v>5.0000000000000001E-4</v>
      </c>
      <c r="J6" s="428">
        <v>5.0000000000000001E-4</v>
      </c>
      <c r="K6" s="429"/>
      <c r="L6" s="9"/>
      <c r="M6" s="10"/>
      <c r="N6" s="10"/>
      <c r="O6" s="10"/>
      <c r="P6" s="10"/>
      <c r="Q6" s="10"/>
      <c r="R6" s="10"/>
      <c r="S6" s="10"/>
      <c r="T6" s="10"/>
    </row>
    <row r="7" spans="1:21" ht="15" customHeight="1">
      <c r="A7" s="419"/>
      <c r="B7" s="431" t="str">
        <f>B6</f>
        <v>Spl-D-III-B Wt. (g)</v>
      </c>
      <c r="C7" s="421">
        <f>C6</f>
        <v>0.63261999999999996</v>
      </c>
      <c r="D7" s="422">
        <v>5.0000000000000004E-6</v>
      </c>
      <c r="E7" s="432">
        <v>0.21686</v>
      </c>
      <c r="F7" s="433">
        <v>1E-4</v>
      </c>
      <c r="G7" s="434" t="s">
        <v>209</v>
      </c>
      <c r="H7" s="426" t="s">
        <v>29</v>
      </c>
      <c r="I7" s="427">
        <v>1.2999999999999999E-4</v>
      </c>
      <c r="J7" s="428">
        <v>5.0000000000000001E-4</v>
      </c>
      <c r="K7" s="429"/>
      <c r="L7" s="9"/>
      <c r="M7" s="10"/>
      <c r="N7" s="400"/>
      <c r="O7" s="10"/>
      <c r="P7" s="400"/>
      <c r="Q7" s="10"/>
      <c r="R7" s="10"/>
      <c r="S7" s="10"/>
      <c r="T7" s="10"/>
    </row>
    <row r="8" spans="1:21" ht="15" customHeight="1">
      <c r="A8" s="419"/>
      <c r="B8" s="435"/>
      <c r="C8" s="429"/>
      <c r="D8" s="420" t="s">
        <v>6</v>
      </c>
      <c r="E8" s="436">
        <v>1</v>
      </c>
      <c r="F8" s="437"/>
      <c r="G8" s="438"/>
      <c r="H8" s="420" t="s">
        <v>7</v>
      </c>
      <c r="I8" s="439">
        <v>0.8</v>
      </c>
      <c r="J8" s="428"/>
      <c r="K8" s="429"/>
      <c r="L8" s="9"/>
      <c r="M8" s="10"/>
      <c r="N8" s="400"/>
      <c r="O8" s="10"/>
      <c r="P8" s="400"/>
      <c r="Q8" s="402"/>
      <c r="R8" s="10"/>
      <c r="S8" s="10"/>
      <c r="T8" s="10"/>
    </row>
    <row r="9" spans="1:21" ht="15" customHeight="1">
      <c r="A9" s="419"/>
      <c r="B9" s="419"/>
      <c r="C9" s="424"/>
      <c r="D9" s="420" t="s">
        <v>30</v>
      </c>
      <c r="E9" s="436">
        <v>1</v>
      </c>
      <c r="F9" s="440"/>
      <c r="G9" s="424"/>
      <c r="H9" s="429"/>
      <c r="I9" s="429"/>
      <c r="J9" s="429"/>
      <c r="K9" s="429"/>
      <c r="L9" s="9"/>
      <c r="M9" s="10"/>
      <c r="N9" s="10"/>
      <c r="O9" s="10"/>
      <c r="P9" s="10"/>
      <c r="Q9" s="10"/>
      <c r="R9" s="10"/>
      <c r="S9" s="10"/>
      <c r="T9" s="10"/>
    </row>
    <row r="10" spans="1:21" s="25" customFormat="1" ht="15" customHeight="1">
      <c r="A10" s="37" t="s">
        <v>8</v>
      </c>
      <c r="B10" s="38"/>
      <c r="C10" s="54"/>
      <c r="D10" s="2" t="s">
        <v>9</v>
      </c>
      <c r="E10" s="2" t="s">
        <v>10</v>
      </c>
      <c r="F10" s="2" t="s">
        <v>31</v>
      </c>
      <c r="G10" s="2"/>
      <c r="H10" s="28" t="s">
        <v>11</v>
      </c>
      <c r="I10" s="28"/>
      <c r="J10" s="28"/>
      <c r="K10" s="55"/>
      <c r="L10" s="23"/>
      <c r="M10" s="24"/>
      <c r="N10" s="403"/>
      <c r="O10" s="24"/>
      <c r="P10" s="399"/>
      <c r="Q10" s="24"/>
      <c r="R10" s="24"/>
      <c r="S10" s="24"/>
      <c r="T10" s="24"/>
    </row>
    <row r="11" spans="1:21" ht="15" customHeight="1">
      <c r="A11" s="441"/>
      <c r="B11" s="442"/>
      <c r="C11" s="420" t="s">
        <v>79</v>
      </c>
      <c r="D11" s="443">
        <v>6.2029091375354897</v>
      </c>
      <c r="E11" s="444">
        <v>6.3744989148715398E-3</v>
      </c>
      <c r="F11" s="445">
        <f>E11/D11*1000</f>
        <v>1.0276627907214879</v>
      </c>
      <c r="G11" s="446"/>
      <c r="H11" s="447" t="s">
        <v>158</v>
      </c>
      <c r="I11" s="448">
        <f>D13</f>
        <v>618</v>
      </c>
      <c r="J11" s="431" t="s">
        <v>159</v>
      </c>
      <c r="K11" s="449">
        <f>0.131*3</f>
        <v>0.39300000000000002</v>
      </c>
      <c r="L11" s="9"/>
      <c r="M11" s="10"/>
      <c r="N11" s="10"/>
      <c r="O11" s="10"/>
      <c r="P11" s="10"/>
      <c r="Q11" s="10"/>
      <c r="R11" s="10"/>
      <c r="S11" s="10"/>
      <c r="T11" s="10"/>
    </row>
    <row r="12" spans="1:21" ht="15" customHeight="1">
      <c r="A12" s="441"/>
      <c r="B12" s="442"/>
      <c r="C12" s="420" t="s">
        <v>80</v>
      </c>
      <c r="D12" s="450">
        <v>1.4108989195374001E-2</v>
      </c>
      <c r="E12" s="450">
        <v>1.45097087932848E-5</v>
      </c>
      <c r="F12" s="451"/>
      <c r="G12" s="446"/>
      <c r="H12" s="452" t="s">
        <v>175</v>
      </c>
      <c r="I12" s="453">
        <v>137.82</v>
      </c>
      <c r="J12" s="431" t="s">
        <v>161</v>
      </c>
      <c r="K12" s="449">
        <f>0.131</f>
        <v>0.13100000000000001</v>
      </c>
      <c r="L12" s="9"/>
      <c r="M12" s="10"/>
      <c r="N12" s="401"/>
      <c r="O12" s="10"/>
      <c r="P12" s="10"/>
      <c r="Q12" s="10"/>
      <c r="R12" s="10"/>
      <c r="S12" s="10"/>
      <c r="T12" s="10"/>
    </row>
    <row r="13" spans="1:21" ht="15" customHeight="1">
      <c r="A13" s="441"/>
      <c r="B13" s="442"/>
      <c r="C13" s="420" t="s">
        <v>200</v>
      </c>
      <c r="D13" s="454">
        <v>618</v>
      </c>
      <c r="E13" s="455">
        <v>571</v>
      </c>
      <c r="F13" s="451"/>
      <c r="G13" s="451"/>
      <c r="H13" s="456" t="s">
        <v>251</v>
      </c>
      <c r="I13" s="457">
        <f>I14*D28*K13*I11</f>
        <v>2957253.461689604</v>
      </c>
      <c r="J13" s="431" t="s">
        <v>160</v>
      </c>
      <c r="K13" s="449">
        <v>1.0489999999999999</v>
      </c>
      <c r="L13" s="9"/>
      <c r="M13" s="10"/>
      <c r="N13" s="10"/>
      <c r="O13" s="10"/>
      <c r="P13" s="10"/>
      <c r="Q13" s="10"/>
      <c r="R13" s="10"/>
      <c r="S13" s="10"/>
      <c r="T13" s="10"/>
      <c r="U13" s="10"/>
    </row>
    <row r="14" spans="1:21" ht="15" customHeight="1">
      <c r="A14" s="441"/>
      <c r="B14" s="442"/>
      <c r="C14" s="420" t="s">
        <v>162</v>
      </c>
      <c r="D14" s="454">
        <v>52142.888246515002</v>
      </c>
      <c r="E14" s="458"/>
      <c r="F14" s="459"/>
      <c r="G14" s="459"/>
      <c r="H14" s="420" t="s">
        <v>162</v>
      </c>
      <c r="I14" s="460">
        <f>D14</f>
        <v>52142.888246515002</v>
      </c>
      <c r="J14" s="461">
        <f>I14*0.05</f>
        <v>2607.1444123257502</v>
      </c>
      <c r="K14" s="462"/>
      <c r="L14" s="9"/>
      <c r="M14" s="10"/>
      <c r="N14" s="10"/>
      <c r="O14" s="10"/>
      <c r="P14" s="10"/>
      <c r="Q14" s="10"/>
      <c r="R14" s="10"/>
      <c r="S14" s="10"/>
      <c r="T14" s="10"/>
      <c r="U14" s="10"/>
    </row>
    <row r="15" spans="1:21" ht="15" customHeight="1">
      <c r="A15" s="463" t="s">
        <v>202</v>
      </c>
      <c r="B15" s="464" t="s">
        <v>203</v>
      </c>
      <c r="C15" s="465">
        <v>1.7</v>
      </c>
      <c r="D15" s="464" t="s">
        <v>204</v>
      </c>
      <c r="E15" s="465">
        <v>20</v>
      </c>
      <c r="F15" s="464" t="s">
        <v>205</v>
      </c>
      <c r="G15" s="466">
        <v>176</v>
      </c>
      <c r="H15" s="420" t="s">
        <v>84</v>
      </c>
      <c r="I15" s="467">
        <v>1E-4</v>
      </c>
      <c r="J15" s="468">
        <v>0.1</v>
      </c>
      <c r="K15" s="462"/>
      <c r="L15" s="9"/>
      <c r="M15" s="10"/>
      <c r="N15" s="10"/>
      <c r="O15" s="10"/>
      <c r="P15" s="10"/>
      <c r="Q15" s="10"/>
      <c r="R15" s="10"/>
      <c r="S15" s="10"/>
      <c r="T15" s="10"/>
      <c r="U15" s="10"/>
    </row>
    <row r="16" spans="1:21" ht="15" customHeight="1">
      <c r="A16" s="441"/>
      <c r="B16" s="442"/>
      <c r="C16" s="420" t="s">
        <v>81</v>
      </c>
      <c r="D16" s="469">
        <f>D12*(1-C15/(D14*D12*D11))</f>
        <v>1.4103733158318591E-2</v>
      </c>
      <c r="E16" s="469">
        <f>E12</f>
        <v>1.45097087932848E-5</v>
      </c>
      <c r="F16" s="445">
        <f>E16/D16*1000</f>
        <v>1.0287849770276432</v>
      </c>
      <c r="G16" s="445"/>
      <c r="H16" s="431" t="s">
        <v>85</v>
      </c>
      <c r="I16" s="470">
        <f>2000/(I14*I11*K11)^0.5</f>
        <v>0.56200727988565558</v>
      </c>
      <c r="J16" s="471" t="s">
        <v>12</v>
      </c>
      <c r="K16" s="462"/>
      <c r="L16" s="112"/>
      <c r="M16" s="10"/>
      <c r="N16" s="413" t="s">
        <v>252</v>
      </c>
      <c r="O16" s="10"/>
      <c r="P16" s="10"/>
      <c r="Q16" s="10"/>
      <c r="R16" s="10"/>
      <c r="S16" s="10"/>
      <c r="T16" s="10"/>
      <c r="U16" s="10"/>
    </row>
    <row r="17" spans="1:21" ht="15" customHeight="1">
      <c r="A17" s="441"/>
      <c r="B17" s="442"/>
      <c r="C17" s="420" t="s">
        <v>82</v>
      </c>
      <c r="D17" s="472">
        <v>9.9999999999999994E-12</v>
      </c>
      <c r="E17" s="472">
        <v>0</v>
      </c>
      <c r="F17" s="473">
        <f>E17/D17*1000</f>
        <v>0</v>
      </c>
      <c r="G17" s="474"/>
      <c r="H17" s="431" t="s">
        <v>86</v>
      </c>
      <c r="I17" s="470">
        <f>2000/(I13)^0.5</f>
        <v>1.1630160849981712</v>
      </c>
      <c r="J17" s="471" t="s">
        <v>12</v>
      </c>
      <c r="K17" s="419"/>
      <c r="L17" s="9"/>
      <c r="M17" s="10"/>
      <c r="N17" s="10"/>
      <c r="O17" s="10"/>
      <c r="P17" s="10"/>
      <c r="Q17" s="10"/>
      <c r="R17" s="10"/>
      <c r="S17" s="10"/>
      <c r="T17" s="10"/>
      <c r="U17" s="10"/>
    </row>
    <row r="18" spans="1:21" ht="15" customHeight="1">
      <c r="A18" s="441"/>
      <c r="B18" s="442"/>
      <c r="C18" s="420" t="s">
        <v>83</v>
      </c>
      <c r="D18" s="472">
        <v>9.9999999999999994E-12</v>
      </c>
      <c r="E18" s="472">
        <v>0</v>
      </c>
      <c r="F18" s="473">
        <f>E18/D18*1000</f>
        <v>0</v>
      </c>
      <c r="G18" s="474"/>
      <c r="H18" s="431" t="s">
        <v>87</v>
      </c>
      <c r="I18" s="470">
        <f>2000/(I14*D11*K12*I11)^0.5</f>
        <v>0.39084526845445333</v>
      </c>
      <c r="J18" s="471" t="s">
        <v>12</v>
      </c>
      <c r="K18" s="419"/>
      <c r="L18" s="9"/>
      <c r="M18" s="10"/>
      <c r="N18" s="10"/>
      <c r="O18" s="10"/>
      <c r="P18" s="10"/>
      <c r="Q18" s="10"/>
      <c r="R18" s="10"/>
      <c r="S18" s="10"/>
      <c r="T18" s="10"/>
      <c r="U18" s="10"/>
    </row>
    <row r="19" spans="1:21" s="25" customFormat="1" ht="15" customHeight="1">
      <c r="A19" s="40" t="s">
        <v>32</v>
      </c>
      <c r="B19" s="38"/>
      <c r="C19" s="54"/>
      <c r="D19" s="2" t="s">
        <v>9</v>
      </c>
      <c r="E19" s="2" t="s">
        <v>10</v>
      </c>
      <c r="F19" s="2" t="s">
        <v>31</v>
      </c>
      <c r="G19" s="2"/>
      <c r="H19" s="56" t="s">
        <v>13</v>
      </c>
      <c r="I19" s="28" t="s">
        <v>14</v>
      </c>
      <c r="J19" s="2" t="s">
        <v>15</v>
      </c>
      <c r="K19" s="55" t="s">
        <v>16</v>
      </c>
      <c r="L19" s="23"/>
      <c r="M19" s="24"/>
      <c r="N19" s="24"/>
      <c r="O19" s="24"/>
      <c r="P19" s="24"/>
      <c r="Q19" s="24"/>
      <c r="R19" s="24"/>
      <c r="S19" s="24"/>
      <c r="T19" s="24"/>
      <c r="U19" s="24"/>
    </row>
    <row r="20" spans="1:21" ht="15" customHeight="1">
      <c r="A20" s="441"/>
      <c r="B20" s="442"/>
      <c r="C20" s="420" t="s">
        <v>117</v>
      </c>
      <c r="D20" s="475">
        <v>2.8409234076772399E-2</v>
      </c>
      <c r="E20" s="476">
        <v>3.1329804060888601E-5</v>
      </c>
      <c r="F20" s="477"/>
      <c r="G20" s="478"/>
      <c r="H20" s="447" t="s">
        <v>139</v>
      </c>
      <c r="I20" s="448">
        <f>G21</f>
        <v>564</v>
      </c>
      <c r="J20" s="479">
        <v>1.0489999999999999</v>
      </c>
      <c r="K20" s="480" t="s">
        <v>140</v>
      </c>
      <c r="L20" s="9"/>
      <c r="M20" s="10"/>
      <c r="N20" s="10"/>
      <c r="O20" s="10"/>
      <c r="P20" s="10"/>
      <c r="Q20" s="10"/>
      <c r="R20" s="10"/>
      <c r="S20" s="10"/>
      <c r="T20" s="10"/>
    </row>
    <row r="21" spans="1:21" ht="15" customHeight="1">
      <c r="A21" s="441"/>
      <c r="B21" s="442"/>
      <c r="C21" s="420"/>
      <c r="D21" s="481">
        <v>264.57697516697903</v>
      </c>
      <c r="E21" s="482">
        <v>5.2971693774429598</v>
      </c>
      <c r="F21" s="454">
        <v>293090.76863761898</v>
      </c>
      <c r="G21" s="454">
        <v>564</v>
      </c>
      <c r="H21" s="431"/>
      <c r="I21" s="483"/>
      <c r="J21" s="445"/>
      <c r="K21" s="483"/>
      <c r="L21" s="9"/>
      <c r="M21" s="10"/>
      <c r="N21" s="10"/>
      <c r="O21" s="10"/>
      <c r="P21" s="10"/>
      <c r="Q21" s="10"/>
      <c r="R21" s="10"/>
      <c r="S21" s="10"/>
      <c r="T21" s="10"/>
    </row>
    <row r="22" spans="1:21" ht="15" customHeight="1">
      <c r="A22" s="441"/>
      <c r="B22" s="442"/>
      <c r="C22" s="420" t="s">
        <v>88</v>
      </c>
      <c r="D22" s="484">
        <f>D21</f>
        <v>264.57697516697903</v>
      </c>
      <c r="E22" s="485">
        <f>E21</f>
        <v>5.2971693774429598</v>
      </c>
      <c r="F22" s="445">
        <f>E22/D22*1000</f>
        <v>20.021278775675118</v>
      </c>
      <c r="G22" s="446"/>
      <c r="H22" s="420" t="s">
        <v>143</v>
      </c>
      <c r="I22" s="486">
        <f>I23*D22/62500</f>
        <v>1240.7211042480978</v>
      </c>
      <c r="J22" s="487"/>
      <c r="K22" s="488"/>
      <c r="L22" s="9"/>
      <c r="M22" s="10"/>
      <c r="N22" s="10"/>
      <c r="O22" s="10"/>
      <c r="P22" s="10"/>
      <c r="Q22" s="10"/>
      <c r="R22" s="10"/>
      <c r="S22" s="10"/>
      <c r="T22" s="10"/>
    </row>
    <row r="23" spans="1:21" ht="15" customHeight="1">
      <c r="A23" s="441"/>
      <c r="B23" s="489"/>
      <c r="C23" s="420" t="s">
        <v>90</v>
      </c>
      <c r="D23" s="490">
        <v>1E-10</v>
      </c>
      <c r="E23" s="491">
        <f>F23/1000*D23</f>
        <v>2.5000000000000001E-11</v>
      </c>
      <c r="F23" s="492">
        <v>250</v>
      </c>
      <c r="G23" s="493"/>
      <c r="H23" s="420" t="s">
        <v>142</v>
      </c>
      <c r="I23" s="460">
        <f>F21</f>
        <v>293090.76863761898</v>
      </c>
      <c r="J23" s="494">
        <v>10</v>
      </c>
      <c r="K23" s="429"/>
      <c r="L23" s="9"/>
      <c r="M23" s="10"/>
      <c r="N23" s="10"/>
      <c r="O23" s="10"/>
      <c r="P23" s="10"/>
      <c r="Q23" s="10"/>
      <c r="R23" s="10"/>
      <c r="S23" s="10"/>
      <c r="T23" s="10"/>
    </row>
    <row r="24" spans="1:21" ht="15" customHeight="1">
      <c r="A24" s="441"/>
      <c r="B24" s="489"/>
      <c r="C24" s="420" t="s">
        <v>91</v>
      </c>
      <c r="D24" s="490">
        <f>D23/2.5</f>
        <v>4.0000000000000004E-11</v>
      </c>
      <c r="E24" s="491">
        <f>F24/1000*D24</f>
        <v>1.0000000000000001E-11</v>
      </c>
      <c r="F24" s="492">
        <v>250</v>
      </c>
      <c r="G24" s="493"/>
      <c r="H24" s="420" t="s">
        <v>89</v>
      </c>
      <c r="I24" s="495">
        <f>I23*D20</f>
        <v>8326.4842519672602</v>
      </c>
      <c r="J24" s="496">
        <v>10</v>
      </c>
      <c r="K24" s="488"/>
      <c r="L24" s="9"/>
      <c r="M24" s="10"/>
      <c r="N24" s="10"/>
      <c r="O24" s="10"/>
      <c r="P24" s="10"/>
      <c r="Q24" s="10"/>
      <c r="R24" s="10"/>
      <c r="S24" s="10"/>
      <c r="T24" s="10"/>
    </row>
    <row r="25" spans="1:21" ht="15" customHeight="1">
      <c r="A25" s="441"/>
      <c r="B25" s="489"/>
      <c r="C25" s="420" t="s">
        <v>33</v>
      </c>
      <c r="D25" s="497">
        <v>54</v>
      </c>
      <c r="E25" s="419">
        <f>F25*D25/1000</f>
        <v>10.8</v>
      </c>
      <c r="F25" s="492">
        <v>200</v>
      </c>
      <c r="G25" s="493"/>
      <c r="H25" s="420" t="s">
        <v>141</v>
      </c>
      <c r="I25" s="495">
        <f>I22*62500</f>
        <v>77545069.015506119</v>
      </c>
      <c r="J25" s="498">
        <v>10</v>
      </c>
      <c r="K25" s="488"/>
      <c r="L25" s="9"/>
      <c r="M25" s="10"/>
      <c r="N25" s="10"/>
      <c r="O25" s="10"/>
      <c r="P25" s="10"/>
      <c r="Q25" s="10"/>
      <c r="R25" s="10"/>
      <c r="S25" s="10"/>
      <c r="T25" s="10"/>
    </row>
    <row r="26" spans="1:21" ht="15" customHeight="1">
      <c r="A26" s="441"/>
      <c r="B26" s="489"/>
      <c r="C26" s="420" t="s">
        <v>34</v>
      </c>
      <c r="D26" s="436">
        <v>60</v>
      </c>
      <c r="E26" s="424"/>
      <c r="F26" s="424"/>
      <c r="G26" s="429"/>
      <c r="H26" s="420" t="s">
        <v>245</v>
      </c>
      <c r="I26" s="439">
        <v>6.4999999999999997E-4</v>
      </c>
      <c r="J26" s="433">
        <v>5.0000000000000002E-5</v>
      </c>
      <c r="K26" s="424"/>
      <c r="L26" s="9"/>
      <c r="M26" s="10"/>
      <c r="N26" s="10"/>
      <c r="O26" s="10"/>
      <c r="P26" s="10"/>
      <c r="Q26" s="10"/>
      <c r="R26" s="10"/>
      <c r="S26" s="10"/>
      <c r="T26" s="10"/>
    </row>
    <row r="27" spans="1:21" s="25" customFormat="1" ht="15" customHeight="1">
      <c r="A27" s="37" t="s">
        <v>17</v>
      </c>
      <c r="B27" s="38"/>
      <c r="C27" s="38"/>
      <c r="D27" s="2" t="s">
        <v>9</v>
      </c>
      <c r="E27" s="2" t="s">
        <v>10</v>
      </c>
      <c r="F27" s="2" t="s">
        <v>31</v>
      </c>
      <c r="G27" s="2"/>
      <c r="H27" s="2"/>
      <c r="I27" s="2" t="s">
        <v>9</v>
      </c>
      <c r="J27" s="2" t="s">
        <v>10</v>
      </c>
      <c r="K27" s="1" t="s">
        <v>31</v>
      </c>
      <c r="L27" s="23"/>
      <c r="M27" s="42"/>
      <c r="N27" s="42"/>
      <c r="O27" s="42"/>
      <c r="P27" s="42"/>
      <c r="Q27" s="42"/>
    </row>
    <row r="28" spans="1:21" ht="15" customHeight="1">
      <c r="A28" s="499" t="s">
        <v>176</v>
      </c>
      <c r="B28" s="500"/>
      <c r="C28" s="501" t="s">
        <v>66</v>
      </c>
      <c r="D28" s="502">
        <f>(D29*D11)^E8</f>
        <v>8.7484175281096657E-2</v>
      </c>
      <c r="E28" s="503">
        <f>F28*D28/1000</f>
        <v>1.2721322192281461E-4</v>
      </c>
      <c r="F28" s="504">
        <f>MAX((F11^2+F16^2)^0.5,SQRT(I17^2+2*I16^2+2/9*I16^2))</f>
        <v>1.4541283782359951</v>
      </c>
      <c r="G28" s="505"/>
      <c r="H28" s="501" t="s">
        <v>72</v>
      </c>
      <c r="I28" s="506">
        <f>(((I14*D11)-G15)/(I14-E15))^E8</f>
        <v>6.2019126114603482</v>
      </c>
      <c r="J28" s="507">
        <f>K28*I28/1000</f>
        <v>6.3734748221041318E-3</v>
      </c>
      <c r="K28" s="508">
        <f>MAX(F11,SQRT(I18^2+I16^2+I16^2*8/9))</f>
        <v>1.0276627907214879</v>
      </c>
      <c r="L28" s="44"/>
      <c r="M28" s="45"/>
      <c r="N28" s="45"/>
      <c r="O28" s="45"/>
      <c r="P28" s="10"/>
      <c r="Q28" s="10"/>
    </row>
    <row r="29" spans="1:21" ht="15" customHeight="1">
      <c r="A29" s="499">
        <v>1.68021536283273E-2</v>
      </c>
      <c r="B29" s="509"/>
      <c r="C29" s="501" t="s">
        <v>67</v>
      </c>
      <c r="D29" s="510">
        <f>D16</f>
        <v>1.4103733158318591E-2</v>
      </c>
      <c r="E29" s="511">
        <f>E16</f>
        <v>1.45097087932848E-5</v>
      </c>
      <c r="F29" s="512">
        <f>MAX(F16,SQRT(I17^2+I18^2+I16^2*2/9))</f>
        <v>1.2552114609732901</v>
      </c>
      <c r="G29" s="505"/>
      <c r="H29" s="513" t="s">
        <v>73</v>
      </c>
      <c r="I29" s="514">
        <f>((I28-A31)*C6*E6*I12)/1000/C5</f>
        <v>5.150304181945125</v>
      </c>
      <c r="J29" s="503">
        <f>I29*SQRT((SQRT(J28^2+(0.0000527)^2)/(I28-A31))^2+(D6/C6)^2+(F6/E6)^2+(D5/C5)^2)</f>
        <v>5.5501363184092458E-3</v>
      </c>
      <c r="K29" s="508">
        <f>J29/I29*1000</f>
        <v>1.0776327227167999</v>
      </c>
      <c r="L29" s="44"/>
      <c r="M29" s="45"/>
      <c r="N29" s="45"/>
      <c r="O29" s="45"/>
      <c r="P29" s="10"/>
      <c r="Q29" s="10"/>
    </row>
    <row r="30" spans="1:21" ht="15" customHeight="1">
      <c r="A30" s="499" t="s">
        <v>177</v>
      </c>
      <c r="B30" s="500"/>
      <c r="C30" s="515" t="s">
        <v>68</v>
      </c>
      <c r="D30" s="516">
        <f>D29*(1-(4/9*D17+5/9*D18))</f>
        <v>1.4103733158177555E-2</v>
      </c>
      <c r="E30" s="511">
        <f>F30*D30/1000</f>
        <v>1.7703167502653484E-5</v>
      </c>
      <c r="F30" s="517">
        <f>SQRT((F29/1000)^2+(SQRT((4/9*E17)^2+(5/9*E18)^2)/(1-(4/9*E17+5/9*E18)))^2)*1000</f>
        <v>1.2552114609732901</v>
      </c>
      <c r="G30" s="518"/>
      <c r="H30" s="519" t="s">
        <v>76</v>
      </c>
      <c r="I30" s="520">
        <f>(I29*C5-I5/1000)/C5</f>
        <v>5.1500581492227724</v>
      </c>
      <c r="J30" s="511">
        <f>SQRT(J29^2+(J6/1000)^2)</f>
        <v>5.5501363409312145E-3</v>
      </c>
      <c r="K30" s="508">
        <f>J30/I30*1000</f>
        <v>1.07768420862759</v>
      </c>
      <c r="L30" s="44"/>
      <c r="M30" s="45"/>
      <c r="N30" s="45"/>
      <c r="O30" s="45"/>
      <c r="P30" s="10"/>
      <c r="Q30" s="10"/>
    </row>
    <row r="31" spans="1:21" ht="15" customHeight="1">
      <c r="A31" s="499">
        <v>0.10532139153895401</v>
      </c>
      <c r="B31" s="521"/>
      <c r="C31" s="515" t="s">
        <v>69</v>
      </c>
      <c r="D31" s="516">
        <f>D30*(1-A33/D28)</f>
        <v>1.3588631804529339E-2</v>
      </c>
      <c r="E31" s="511">
        <f>F31*D31/1000</f>
        <v>1.7104098193639303E-5</v>
      </c>
      <c r="F31" s="517">
        <f>SQRT((F30/1000)^2+(A33/D28*SQRT(0.002^2+(F28/1000)^2)/(1-A33/D28))^2)*1000</f>
        <v>1.2587064275255582</v>
      </c>
      <c r="G31" s="518"/>
      <c r="H31" s="519" t="s">
        <v>74</v>
      </c>
      <c r="I31" s="522">
        <f>I30*(1-I15/(I14*I28*I12))</f>
        <v>5.1500581492112172</v>
      </c>
      <c r="J31" s="523">
        <f>K31*I31/1000</f>
        <v>5.5501363409307869E-3</v>
      </c>
      <c r="K31" s="508">
        <f>SQRT((K30/1000)^2+((I15/(I14*D11*I12))*SQRT((J15/I15)^2+(J14/I14)^2+(F11/1000)^2)/(1-(I15/(I14*D11*I12))))^2)*1000</f>
        <v>1.077684208629925</v>
      </c>
      <c r="L31" s="44"/>
      <c r="M31" s="10"/>
      <c r="N31" s="47"/>
      <c r="O31" s="10"/>
      <c r="P31" s="10"/>
      <c r="Q31" s="10"/>
    </row>
    <row r="32" spans="1:21" ht="15" customHeight="1">
      <c r="A32" s="499" t="s">
        <v>178</v>
      </c>
      <c r="B32" s="521"/>
      <c r="C32" s="515" t="s">
        <v>70</v>
      </c>
      <c r="D32" s="516">
        <f>D31*(1/(1-A31/I28))</f>
        <v>1.382338161128807E-2</v>
      </c>
      <c r="E32" s="511">
        <f>F32*D32/1000</f>
        <v>1.7401719539367753E-5</v>
      </c>
      <c r="F32" s="517">
        <f>SQRT((F31/1000)^2+(A31/I28*SQRT(0.0005^2+(K28/1000)^2)/(1-A31/I28))^2)*1000</f>
        <v>1.2588612561457206</v>
      </c>
      <c r="G32" s="518"/>
      <c r="H32" s="513" t="s">
        <v>75</v>
      </c>
      <c r="I32" s="524">
        <f>I31*238.050785</f>
        <v>1225.9753852153774</v>
      </c>
      <c r="J32" s="525">
        <f>J31*238.050785</f>
        <v>1.3212143128156013</v>
      </c>
      <c r="K32" s="508">
        <f>J32/I32*1000</f>
        <v>1.077684208629925</v>
      </c>
      <c r="L32" s="9"/>
      <c r="M32" s="10"/>
      <c r="N32" s="10"/>
      <c r="O32" s="10"/>
      <c r="P32" s="10"/>
      <c r="Q32" s="10"/>
    </row>
    <row r="33" spans="1:17" ht="15" customHeight="1">
      <c r="A33" s="499">
        <v>3.1951268933333699E-3</v>
      </c>
      <c r="B33" s="521"/>
      <c r="C33" s="526" t="s">
        <v>71</v>
      </c>
      <c r="D33" s="527">
        <f>D32*1000000/I12</f>
        <v>100.30025838984234</v>
      </c>
      <c r="E33" s="528">
        <f>E32*1000000/I12</f>
        <v>0.12626410926837728</v>
      </c>
      <c r="F33" s="504">
        <f>(E33/D33)*1000</f>
        <v>1.2588612561457204</v>
      </c>
      <c r="G33" s="505"/>
      <c r="H33" s="529" t="s">
        <v>78</v>
      </c>
      <c r="I33" s="530">
        <v>1123.8970030091502</v>
      </c>
      <c r="J33" s="531">
        <f>E33/(J52/J51*10^6)*1000</f>
        <v>2.2970182862025914</v>
      </c>
      <c r="K33" s="532"/>
      <c r="L33" s="556">
        <f>((I33/1000)+1)*I32/234</f>
        <v>11.127544642828754</v>
      </c>
      <c r="M33" s="10"/>
      <c r="N33" s="10"/>
      <c r="O33" s="10"/>
      <c r="P33" s="10"/>
      <c r="Q33" s="10"/>
    </row>
    <row r="34" spans="1:17" s="25" customFormat="1" ht="15" customHeight="1">
      <c r="A34" s="40" t="s">
        <v>35</v>
      </c>
      <c r="B34" s="38"/>
      <c r="C34" s="38"/>
      <c r="D34" s="2" t="s">
        <v>9</v>
      </c>
      <c r="E34" s="2" t="s">
        <v>10</v>
      </c>
      <c r="F34" s="2" t="s">
        <v>31</v>
      </c>
      <c r="G34" s="2"/>
      <c r="H34" s="2"/>
      <c r="I34" s="2" t="s">
        <v>9</v>
      </c>
      <c r="J34" s="2" t="s">
        <v>10</v>
      </c>
      <c r="K34" s="1" t="s">
        <v>31</v>
      </c>
      <c r="L34" s="23"/>
      <c r="M34" s="24"/>
      <c r="N34" s="24"/>
      <c r="O34" s="24"/>
      <c r="P34" s="24"/>
      <c r="Q34" s="24"/>
    </row>
    <row r="35" spans="1:17" ht="15" customHeight="1">
      <c r="A35" s="533"/>
      <c r="B35" s="521"/>
      <c r="C35" s="501" t="s">
        <v>51</v>
      </c>
      <c r="D35" s="534"/>
      <c r="E35" s="502">
        <f>D20*2*SQRT(1/(I24*I20*J20)+1/(I23*I20*J20))</f>
        <v>2.5960579098702634E-5</v>
      </c>
      <c r="F35" s="550">
        <f>E35/D20*1000</f>
        <v>0.91380777913784716</v>
      </c>
      <c r="G35" s="505"/>
      <c r="H35" s="501" t="s">
        <v>59</v>
      </c>
      <c r="I35" s="506">
        <f>D22</f>
        <v>264.57697516697903</v>
      </c>
      <c r="J35" s="536">
        <f>E22</f>
        <v>5.2971693774429598</v>
      </c>
      <c r="K35" s="550">
        <f>MAX(F22,SQRT((2000/SQRT(I25*I20*J20))^2+(2000/SQRT(I23*I20*J20))^2))</f>
        <v>20.021278775675118</v>
      </c>
      <c r="L35" s="44"/>
      <c r="M35" s="10"/>
      <c r="N35" s="10"/>
      <c r="O35" s="10"/>
      <c r="P35" s="10"/>
      <c r="Q35" s="10"/>
    </row>
    <row r="36" spans="1:17" ht="15" customHeight="1">
      <c r="A36" s="537" t="s">
        <v>248</v>
      </c>
      <c r="B36" s="521"/>
      <c r="C36" s="501" t="s">
        <v>77</v>
      </c>
      <c r="D36" s="516">
        <f>D20</f>
        <v>2.8409234076772399E-2</v>
      </c>
      <c r="E36" s="502">
        <f>MAX(D36*0.00001,E35,E20)</f>
        <v>3.1329804060888601E-5</v>
      </c>
      <c r="F36" s="550">
        <f>1000*E36/D36</f>
        <v>1.1028035453621781</v>
      </c>
      <c r="G36" s="505"/>
      <c r="H36" s="538" t="s">
        <v>244</v>
      </c>
      <c r="I36" s="539">
        <f>I35-I26</f>
        <v>264.57632516697902</v>
      </c>
      <c r="J36" s="516">
        <f>SQRT((J35)^2+(J26)^2)</f>
        <v>5.2971693776789346</v>
      </c>
      <c r="K36" s="550">
        <f>J36*1000/I36</f>
        <v>20.021327964003554</v>
      </c>
      <c r="L36" s="9"/>
      <c r="M36" s="10"/>
      <c r="N36" s="10"/>
      <c r="O36" s="10"/>
      <c r="P36" s="10"/>
      <c r="Q36" s="10"/>
    </row>
    <row r="37" spans="1:17" ht="15" customHeight="1">
      <c r="A37" s="540">
        <v>6.2500000000000001E-5</v>
      </c>
      <c r="B37" s="509"/>
      <c r="C37" s="538" t="s">
        <v>52</v>
      </c>
      <c r="D37" s="516">
        <f>D20-A37</f>
        <v>2.8346734076772399E-2</v>
      </c>
      <c r="E37" s="502">
        <f>SQRT((E36)^2+(0.000003)^2)</f>
        <v>3.1473109514213434E-5</v>
      </c>
      <c r="F37" s="550">
        <f>E37/D37*1000</f>
        <v>1.1102904986858018</v>
      </c>
      <c r="G37" s="505"/>
      <c r="H37" s="538" t="s">
        <v>60</v>
      </c>
      <c r="I37" s="539">
        <f>I36-(I6/(C7*E7))</f>
        <v>264.57268058575829</v>
      </c>
      <c r="J37" s="516">
        <f>SQRT((I6/(C7*E7)*SQRT((J6/I6)^2+(D7/C7)^2+(F7/E7)^2))^2+J36^2)</f>
        <v>5.297170631459263</v>
      </c>
      <c r="K37" s="554">
        <f>J37*1000/I37</f>
        <v>20.021608503687681</v>
      </c>
      <c r="L37" s="48"/>
      <c r="M37" s="10"/>
      <c r="N37" s="10"/>
      <c r="O37" s="10"/>
      <c r="P37" s="10"/>
      <c r="Q37" s="10"/>
    </row>
    <row r="38" spans="1:17" ht="15" customHeight="1">
      <c r="A38" s="533"/>
      <c r="B38" s="521"/>
      <c r="C38" s="538" t="s">
        <v>54</v>
      </c>
      <c r="D38" s="516">
        <f>D37-D23-(D24*D22)</f>
        <v>2.8346723393693391E-2</v>
      </c>
      <c r="E38" s="516">
        <f>SQRT(E37^2+E23^2+(D24*D22*SQRT((E24/D24)^2+(E22/D22)^2))^2)</f>
        <v>3.1473109626144203E-5</v>
      </c>
      <c r="F38" s="550">
        <f>E38/D38*1000</f>
        <v>1.110290921071547</v>
      </c>
      <c r="G38" s="505"/>
      <c r="H38" s="501" t="s">
        <v>61</v>
      </c>
      <c r="I38" s="541">
        <f>I37*C7*E7/C5</f>
        <v>446.50902889669504</v>
      </c>
      <c r="J38" s="542">
        <f>I38*SQRT((J37/I37)^2+(D7/C7)^2+(F7/E7)^2+(D5/C5)^2)</f>
        <v>8.9422425856321262</v>
      </c>
      <c r="K38" s="554">
        <f>J38/I38*1000</f>
        <v>20.027014028648043</v>
      </c>
      <c r="L38" s="9"/>
      <c r="M38" s="10"/>
      <c r="N38" s="10"/>
      <c r="O38" s="10"/>
      <c r="P38" s="10"/>
      <c r="Q38" s="10"/>
    </row>
    <row r="39" spans="1:17" ht="15" customHeight="1">
      <c r="A39" s="533"/>
      <c r="B39" s="521"/>
      <c r="C39" s="538" t="s">
        <v>55</v>
      </c>
      <c r="D39" s="516">
        <f>D38*(1-(D25/60/(I23*D38)))</f>
        <v>2.8343652672618881E-2</v>
      </c>
      <c r="E39" s="516">
        <f>D39*SQRT((E38/D38)^2+((D25/60/(I23*D38))*SQRT((F25/1000)^2+(J23/I23)^2+(E38/D38)^2)/(1-D25/60/(I23*D38)))^2)</f>
        <v>3.1475692485942869E-5</v>
      </c>
      <c r="F39" s="550">
        <f>E39/D39*1000</f>
        <v>1.1105023353729444</v>
      </c>
      <c r="G39" s="505"/>
      <c r="H39" s="513" t="s">
        <v>62</v>
      </c>
      <c r="I39" s="548">
        <f>I38*232.032</f>
        <v>103604.38299295795</v>
      </c>
      <c r="J39" s="551">
        <f>K38*I39/1000</f>
        <v>2074.8864316293939</v>
      </c>
      <c r="K39" s="554">
        <f>J38/I38*1000</f>
        <v>20.027014028648043</v>
      </c>
      <c r="L39" s="9"/>
      <c r="M39" s="10"/>
      <c r="N39" s="10"/>
      <c r="O39" s="10"/>
      <c r="P39" s="10"/>
      <c r="Q39" s="10"/>
    </row>
    <row r="40" spans="1:17" ht="15" customHeight="1">
      <c r="A40" s="533"/>
      <c r="B40" s="521"/>
      <c r="C40" s="538" t="s">
        <v>56</v>
      </c>
      <c r="D40" s="516">
        <f>D39-(I7/(C7*E7*1000))</f>
        <v>2.8342705081501485E-2</v>
      </c>
      <c r="E40" s="516">
        <f>SQRT(E39^2+(I7/(C7*E7*1000)*SQRT((J7/I7)^2+(D7/C7)^2+(F7/E7)^2))^2)</f>
        <v>3.1685993592363149E-5</v>
      </c>
      <c r="F40" s="550">
        <f>E40/D40*1000</f>
        <v>1.117959400884559</v>
      </c>
      <c r="G40" s="505"/>
      <c r="H40" s="501" t="s">
        <v>63</v>
      </c>
      <c r="I40" s="552">
        <f>D41/I38</f>
        <v>1.0712634811255395E-4</v>
      </c>
      <c r="J40" s="549">
        <f>(K40/1000)*I40</f>
        <v>2.1493390313303993E-6</v>
      </c>
      <c r="K40" s="554">
        <f>SQRT(K39^2+F41^2)</f>
        <v>20.063589109489321</v>
      </c>
      <c r="L40" s="9"/>
      <c r="M40" s="10"/>
      <c r="N40" s="10"/>
      <c r="O40" s="10"/>
      <c r="P40" s="10"/>
      <c r="Q40" s="10"/>
    </row>
    <row r="41" spans="1:17" ht="15" customHeight="1">
      <c r="A41" s="533"/>
      <c r="B41" s="521"/>
      <c r="C41" s="513" t="s">
        <v>57</v>
      </c>
      <c r="D41" s="543">
        <f>D40*C7*E7/C5</f>
        <v>4.7832881664985762E-2</v>
      </c>
      <c r="E41" s="542">
        <f>D41*SQRT((E40/D40)^2+(D7/C7)^2+(F7/E7)^2+(D5/C5)^2)</f>
        <v>5.792159169489368E-5</v>
      </c>
      <c r="F41" s="535">
        <f>E41*1000/D41</f>
        <v>1.2109157901162575</v>
      </c>
      <c r="G41" s="505"/>
      <c r="H41" s="501" t="s">
        <v>64</v>
      </c>
      <c r="I41" s="553">
        <f>I40*J49/J50</f>
        <v>19.856582141519755</v>
      </c>
      <c r="J41" s="553">
        <f>(K40/1000)*I41</f>
        <v>0.39839430520627589</v>
      </c>
      <c r="K41" s="554">
        <f>J41/I41*1000</f>
        <v>20.063589109489321</v>
      </c>
      <c r="L41" s="9"/>
      <c r="M41" s="36"/>
      <c r="N41" s="36"/>
      <c r="O41" s="44"/>
      <c r="P41" s="10"/>
      <c r="Q41" s="10"/>
    </row>
    <row r="42" spans="1:17" ht="15" customHeight="1">
      <c r="A42" s="533"/>
      <c r="B42" s="544"/>
      <c r="C42" s="501" t="s">
        <v>58</v>
      </c>
      <c r="D42" s="548">
        <f>D41*230.03313</f>
        <v>11.003147486316287</v>
      </c>
      <c r="E42" s="549">
        <f>E41*230.03313</f>
        <v>1.3323885032158398E-2</v>
      </c>
      <c r="F42" s="550">
        <f>E42*1000/D42</f>
        <v>1.2109157901162573</v>
      </c>
      <c r="G42" s="505"/>
      <c r="H42" s="429"/>
      <c r="I42" s="501" t="s">
        <v>65</v>
      </c>
      <c r="J42" s="545">
        <f>(I23*D26*60)/(C7*E7*0.000000000001*I8*6.022E+23)</f>
        <v>1.5964360681116344E-2</v>
      </c>
      <c r="K42" s="546"/>
      <c r="L42" s="9"/>
      <c r="M42" s="36"/>
      <c r="N42" s="36"/>
      <c r="O42" s="44"/>
      <c r="P42" s="10"/>
      <c r="Q42" s="10"/>
    </row>
    <row r="43" spans="1:17" s="25" customFormat="1" ht="15" customHeight="1">
      <c r="A43" s="82" t="s">
        <v>36</v>
      </c>
      <c r="B43" s="83"/>
      <c r="C43" s="83"/>
      <c r="D43" s="84" t="s">
        <v>9</v>
      </c>
      <c r="E43" s="84" t="s">
        <v>10</v>
      </c>
      <c r="F43" s="84" t="s">
        <v>31</v>
      </c>
      <c r="G43" s="84"/>
      <c r="H43" s="85"/>
      <c r="I43" s="84" t="s">
        <v>9</v>
      </c>
      <c r="J43" s="84" t="s">
        <v>10</v>
      </c>
      <c r="K43" s="86" t="s">
        <v>31</v>
      </c>
      <c r="L43" s="23"/>
      <c r="M43" s="49"/>
      <c r="N43" s="49"/>
      <c r="O43" s="50"/>
      <c r="P43" s="24"/>
      <c r="Q43" s="24"/>
    </row>
    <row r="44" spans="1:17" ht="15" customHeight="1">
      <c r="A44" s="533"/>
      <c r="B44" s="521"/>
      <c r="C44" s="513" t="s">
        <v>37</v>
      </c>
      <c r="D44" s="503">
        <f>I38/(I29*1000)</f>
        <v>8.6695661677998442E-2</v>
      </c>
      <c r="E44" s="503">
        <f>F44*D44/1000</f>
        <v>1.7387669958005439E-3</v>
      </c>
      <c r="F44" s="504">
        <f>SQRT(K39^2+K29^2)</f>
        <v>20.055986218302394</v>
      </c>
      <c r="G44" s="505"/>
      <c r="H44" s="513" t="s">
        <v>38</v>
      </c>
      <c r="I44" s="503">
        <f>D44*J50/J52</f>
        <v>2.7650397173369694E-2</v>
      </c>
      <c r="J44" s="503">
        <f>F44*I44/1000</f>
        <v>5.5455598463969007E-4</v>
      </c>
      <c r="K44" s="504">
        <f>J44/I44*1000</f>
        <v>20.055986218302394</v>
      </c>
      <c r="L44" s="9"/>
      <c r="M44" s="36"/>
      <c r="N44" s="36"/>
      <c r="O44" s="41"/>
      <c r="P44" s="10"/>
      <c r="Q44" s="10"/>
    </row>
    <row r="45" spans="1:17" ht="15" customHeight="1">
      <c r="A45" s="533"/>
      <c r="B45" s="521"/>
      <c r="C45" s="513" t="s">
        <v>39</v>
      </c>
      <c r="D45" s="542">
        <f>(D41/(I32/238.051))/1000</f>
        <v>9.2878417059173937E-6</v>
      </c>
      <c r="E45" s="542">
        <f>F45*D45/1000</f>
        <v>1.5055500691920531E-8</v>
      </c>
      <c r="F45" s="504">
        <f>SQRT(F41^2+K29^2)</f>
        <v>1.6209902331053396</v>
      </c>
      <c r="G45" s="505"/>
      <c r="H45" s="513" t="s">
        <v>40</v>
      </c>
      <c r="I45" s="547">
        <v>0.82230562949681207</v>
      </c>
      <c r="J45" s="547">
        <f>F45*I45/1000</f>
        <v>1.3329493940418705E-3</v>
      </c>
      <c r="K45" s="504">
        <f>J45/I45*1000</f>
        <v>1.6209902331053396</v>
      </c>
      <c r="L45" s="9"/>
      <c r="M45" s="36"/>
      <c r="N45" s="36"/>
      <c r="O45" s="41"/>
      <c r="P45" s="10"/>
      <c r="Q45" s="10"/>
    </row>
    <row r="46" spans="1:17" ht="15" customHeight="1">
      <c r="A46" s="533"/>
      <c r="B46" s="521"/>
      <c r="C46" s="513" t="s">
        <v>41</v>
      </c>
      <c r="D46" s="503">
        <f>D45/(D33*0.000001)</f>
        <v>9.2600376659229003E-2</v>
      </c>
      <c r="E46" s="503">
        <f>F46*D46/1000</f>
        <v>1.9005290563026454E-4</v>
      </c>
      <c r="F46" s="504">
        <f>SQRT(F45^2+F33^2)</f>
        <v>2.0523988399060462</v>
      </c>
      <c r="G46" s="509"/>
      <c r="H46" s="513" t="s">
        <v>42</v>
      </c>
      <c r="I46" s="503">
        <f>D46*J49/J51</f>
        <v>0.30091263576512789</v>
      </c>
      <c r="J46" s="503">
        <f>F46*I46/1000</f>
        <v>6.1759274455741912E-4</v>
      </c>
      <c r="K46" s="504">
        <f>J46/I46*1000</f>
        <v>2.0523988399060462</v>
      </c>
      <c r="L46" s="9"/>
      <c r="M46" s="36"/>
      <c r="N46" s="36"/>
      <c r="O46" s="36"/>
      <c r="P46" s="10"/>
      <c r="Q46" s="10"/>
    </row>
    <row r="47" spans="1:17" ht="15" customHeight="1">
      <c r="A47" s="75" t="s">
        <v>53</v>
      </c>
      <c r="B47" s="76"/>
      <c r="C47" s="77"/>
      <c r="D47" s="78"/>
      <c r="E47" s="79"/>
      <c r="F47" s="78"/>
      <c r="G47" s="78"/>
      <c r="H47" s="78"/>
      <c r="I47" s="80"/>
      <c r="J47" s="77"/>
      <c r="K47" s="81"/>
      <c r="L47" s="9"/>
      <c r="M47" s="36"/>
      <c r="O47" s="36"/>
      <c r="P47" s="10"/>
      <c r="Q47" s="10"/>
    </row>
    <row r="48" spans="1:17" ht="15" customHeight="1">
      <c r="A48" s="110"/>
      <c r="B48" s="87"/>
      <c r="C48" s="88"/>
      <c r="D48" s="89" t="s">
        <v>94</v>
      </c>
      <c r="E48" s="90">
        <v>50978.377331913034</v>
      </c>
      <c r="F48" s="91">
        <f>I45-(1-EXP(-J49*E48)+(I33/1000)*(J49/(J49-J51))*(1-EXP((J51-J49)*E48)))</f>
        <v>0</v>
      </c>
      <c r="G48" s="92"/>
      <c r="H48" s="92"/>
      <c r="I48" s="93" t="s">
        <v>50</v>
      </c>
      <c r="J48" s="94"/>
      <c r="K48" s="95"/>
      <c r="L48" s="36"/>
      <c r="M48" s="36"/>
      <c r="N48" s="36"/>
      <c r="O48" s="36"/>
      <c r="P48" s="10"/>
      <c r="Q48" s="10"/>
    </row>
    <row r="49" spans="1:17" ht="15" customHeight="1">
      <c r="A49" s="111"/>
      <c r="B49" s="96"/>
      <c r="C49" s="97"/>
      <c r="D49" s="98" t="s">
        <v>43</v>
      </c>
      <c r="E49" s="99">
        <v>51079.373889775452</v>
      </c>
      <c r="F49" s="91">
        <f>(I45+J45)-(1-EXP(-J49*E49)+(I33/1000)*(J49/(J49-J51))*(1-EXP((J51-J49)*E49)))</f>
        <v>0</v>
      </c>
      <c r="G49" s="100"/>
      <c r="H49" s="96"/>
      <c r="I49" s="101" t="s">
        <v>44</v>
      </c>
      <c r="J49" s="263">
        <f>0.0000091577*1.0014</f>
        <v>9.170520780000001E-6</v>
      </c>
      <c r="K49" s="102"/>
      <c r="L49" s="36"/>
      <c r="M49" s="36"/>
      <c r="N49" s="414"/>
      <c r="O49" s="36"/>
      <c r="P49" s="10"/>
      <c r="Q49" s="10"/>
    </row>
    <row r="50" spans="1:17" ht="15" customHeight="1">
      <c r="A50" s="111"/>
      <c r="B50" s="103"/>
      <c r="C50" s="104"/>
      <c r="D50" s="98" t="s">
        <v>45</v>
      </c>
      <c r="E50" s="99">
        <v>50877.457998801918</v>
      </c>
      <c r="F50" s="91">
        <f>I45-J45-(1-EXP(-J49*E50)+(I33/1000)*(J49/(J49-J51))*(1-EXP((J51-J49)*E50)))</f>
        <v>0</v>
      </c>
      <c r="G50" s="100"/>
      <c r="H50" s="96"/>
      <c r="I50" s="101" t="s">
        <v>46</v>
      </c>
      <c r="J50" s="105">
        <v>4.9475000000000002E-11</v>
      </c>
      <c r="K50" s="102"/>
      <c r="L50" s="36"/>
      <c r="M50" s="36"/>
      <c r="N50" s="416"/>
      <c r="O50" s="36"/>
      <c r="P50" s="10"/>
      <c r="Q50" s="10"/>
    </row>
    <row r="51" spans="1:17" ht="15" customHeight="1">
      <c r="A51" s="111"/>
      <c r="B51" s="96"/>
      <c r="C51" s="96"/>
      <c r="D51" s="98" t="s">
        <v>92</v>
      </c>
      <c r="E51" s="99">
        <v>50908.991078855877</v>
      </c>
      <c r="F51" s="91">
        <f>I45-(1-EXP(-J49*E51)+((I33+J33)/1000)*(J49/(J49-J51))*(1-EXP((J51-J49)*E51)))</f>
        <v>0</v>
      </c>
      <c r="G51" s="100"/>
      <c r="H51" s="96"/>
      <c r="I51" s="101" t="s">
        <v>47</v>
      </c>
      <c r="J51" s="263">
        <f>0.0000028263*0.9985</f>
        <v>2.8220605500000003E-6</v>
      </c>
      <c r="K51" s="102"/>
      <c r="L51" s="36"/>
      <c r="M51" s="36"/>
      <c r="N51" s="416"/>
      <c r="O51" s="36"/>
      <c r="P51" s="10"/>
      <c r="Q51" s="10"/>
    </row>
    <row r="52" spans="1:17" ht="15" customHeight="1">
      <c r="A52" s="111"/>
      <c r="B52" s="96"/>
      <c r="C52" s="106"/>
      <c r="D52" s="98" t="s">
        <v>93</v>
      </c>
      <c r="E52" s="99">
        <v>51047.960583496279</v>
      </c>
      <c r="F52" s="91">
        <f>I45-(1-EXP(-J49*E52)+((I33-J33)/1000)*(J49/(J49-J51))*(1-EXP((J51-J49)*E52)))</f>
        <v>0</v>
      </c>
      <c r="G52" s="100"/>
      <c r="H52" s="96"/>
      <c r="I52" s="101" t="s">
        <v>48</v>
      </c>
      <c r="J52" s="107">
        <v>1.5512499999999999E-10</v>
      </c>
      <c r="K52" s="102"/>
      <c r="L52" s="36"/>
      <c r="M52" s="58"/>
      <c r="N52" s="36"/>
      <c r="O52" s="36"/>
      <c r="P52" s="10"/>
      <c r="Q52" s="10"/>
    </row>
    <row r="53" spans="1:17" ht="7.35" customHeight="1" thickBot="1">
      <c r="A53" s="111"/>
      <c r="B53" s="96"/>
      <c r="C53" s="96"/>
      <c r="D53" s="96"/>
      <c r="E53" s="96"/>
      <c r="F53" s="104"/>
      <c r="G53" s="35"/>
      <c r="H53" s="35"/>
      <c r="I53" s="108"/>
      <c r="J53" s="35"/>
      <c r="K53" s="109"/>
      <c r="L53" s="9"/>
      <c r="M53" s="44"/>
      <c r="N53" s="44"/>
      <c r="O53" s="44"/>
      <c r="P53" s="10"/>
    </row>
    <row r="54" spans="1:17" ht="21" customHeight="1" thickTop="1" thickBot="1">
      <c r="A54" s="68" t="s">
        <v>18</v>
      </c>
      <c r="B54" s="63"/>
      <c r="C54" s="64"/>
      <c r="D54" s="65" t="s">
        <v>49</v>
      </c>
      <c r="E54" s="66">
        <v>4.4000000000000002E-6</v>
      </c>
      <c r="F54" s="67">
        <f>E54/2</f>
        <v>2.2000000000000001E-6</v>
      </c>
      <c r="G54" s="35"/>
      <c r="H54" s="60" t="str">
        <f>C1</f>
        <v>Sample No</v>
      </c>
      <c r="I54" s="61"/>
      <c r="J54" s="62"/>
      <c r="K54" s="74"/>
      <c r="L54" s="9"/>
      <c r="M54" s="10"/>
      <c r="N54" s="417"/>
      <c r="O54" s="10"/>
      <c r="P54" s="10"/>
    </row>
    <row r="55" spans="1:17" ht="15" customHeight="1">
      <c r="A55" s="113"/>
      <c r="B55" s="114" t="s">
        <v>97</v>
      </c>
      <c r="C55" s="115">
        <f>E54*EXP(-J49*E57)</f>
        <v>3.3219781955852726E-6</v>
      </c>
      <c r="D55" s="241">
        <f>C55*F54/E54</f>
        <v>1.6609890977926363E-6</v>
      </c>
      <c r="E55" s="116"/>
      <c r="F55" s="117"/>
      <c r="G55" s="118"/>
      <c r="H55" s="119" t="s">
        <v>98</v>
      </c>
      <c r="I55" s="120"/>
      <c r="J55" s="121"/>
      <c r="K55" s="122"/>
      <c r="L55" s="9"/>
      <c r="M55" s="10"/>
      <c r="N55" s="10"/>
      <c r="O55" s="10"/>
      <c r="P55" s="10"/>
    </row>
    <row r="56" spans="1:17" ht="15" customHeight="1">
      <c r="A56" s="123"/>
      <c r="B56" s="124"/>
      <c r="C56" s="125" t="s">
        <v>99</v>
      </c>
      <c r="D56" s="126">
        <f>(D41-C55*I38)*J49/(I31*1000*J52)</f>
        <v>0.53204204488945672</v>
      </c>
      <c r="E56" s="127">
        <f>D56*SQRT((SQRT(((C55*I38)*SQRT((D55/C55)^2+(J38/I38)^2))^2+E41^2)/(D41-C55*I38))^2+(J31/I31)^2)</f>
        <v>8.5652255622736921E-3</v>
      </c>
      <c r="F56" s="128">
        <f>1000*E56/D56</f>
        <v>16.098775735014144</v>
      </c>
      <c r="G56" s="118"/>
      <c r="H56" s="129" t="s">
        <v>100</v>
      </c>
      <c r="I56" s="130">
        <f>D42</f>
        <v>11.003147486316287</v>
      </c>
      <c r="J56" s="131">
        <f>E42</f>
        <v>1.3323885032158398E-2</v>
      </c>
      <c r="K56" s="132" t="s">
        <v>101</v>
      </c>
      <c r="L56" s="9"/>
      <c r="M56" s="10"/>
      <c r="N56" s="10"/>
      <c r="O56" s="10"/>
      <c r="P56" s="10"/>
    </row>
    <row r="57" spans="1:17" ht="15" customHeight="1">
      <c r="A57" s="113"/>
      <c r="B57" s="124"/>
      <c r="C57" s="124"/>
      <c r="D57" s="125" t="s">
        <v>102</v>
      </c>
      <c r="E57" s="139">
        <v>30646.470373676002</v>
      </c>
      <c r="F57" s="134">
        <f>D56-(1-EXP(-J49*E57)+(I33/1000)*(J49/(J49-J51))*(1-EXP((J51-J49)*E57)))</f>
        <v>1.1102230246251565E-15</v>
      </c>
      <c r="G57" s="118"/>
      <c r="H57" s="129" t="s">
        <v>103</v>
      </c>
      <c r="I57" s="135">
        <f>I39</f>
        <v>103604.38299295795</v>
      </c>
      <c r="J57" s="136">
        <f>J39</f>
        <v>2074.8864316293939</v>
      </c>
      <c r="K57" s="132" t="s">
        <v>101</v>
      </c>
    </row>
    <row r="58" spans="1:17" ht="15" customHeight="1">
      <c r="A58" s="113"/>
      <c r="B58" s="124"/>
      <c r="C58" s="137"/>
      <c r="D58" s="138" t="s">
        <v>104</v>
      </c>
      <c r="E58" s="139">
        <v>31203.538840165864</v>
      </c>
      <c r="F58" s="134">
        <f>(D56+E56)-(1-EXP(-J49*E58)+(I33/1000)*(J49/(J49-J51))*(1-EXP((J51-J49)*E58)))</f>
        <v>1.2212453270876722E-15</v>
      </c>
      <c r="G58" s="118"/>
      <c r="H58" s="129" t="s">
        <v>22</v>
      </c>
      <c r="I58" s="218">
        <f>I40*1000000</f>
        <v>107.12634811255396</v>
      </c>
      <c r="J58" s="227">
        <f>J40*1000000</f>
        <v>2.1493390313303995</v>
      </c>
      <c r="K58" s="132" t="s">
        <v>19</v>
      </c>
      <c r="N58" s="415"/>
    </row>
    <row r="59" spans="1:17" ht="15" customHeight="1">
      <c r="A59" s="113"/>
      <c r="B59" s="140"/>
      <c r="C59" s="141"/>
      <c r="D59" s="138" t="s">
        <v>105</v>
      </c>
      <c r="E59" s="139">
        <v>30091.755534942029</v>
      </c>
      <c r="F59" s="134">
        <f>(D56-E56)-(1-EXP(-J49*E59)+(I33/1000)*(J49/(J49-J51))*(1-EXP((J51-J49)*E59)))</f>
        <v>8.8817841970012523E-16</v>
      </c>
      <c r="G59" s="118"/>
      <c r="H59" s="129" t="s">
        <v>106</v>
      </c>
      <c r="I59" s="135">
        <f>I32</f>
        <v>1225.9753852153774</v>
      </c>
      <c r="J59" s="228">
        <f>J32</f>
        <v>1.3212143128156013</v>
      </c>
      <c r="K59" s="132" t="s">
        <v>20</v>
      </c>
    </row>
    <row r="60" spans="1:17" ht="15" customHeight="1">
      <c r="A60" s="142"/>
      <c r="B60" s="124"/>
      <c r="C60" s="124"/>
      <c r="D60" s="138" t="s">
        <v>107</v>
      </c>
      <c r="E60" s="139">
        <v>30608.445009010356</v>
      </c>
      <c r="F60" s="134">
        <f>D56-(1-EXP(-J49*E60)+((I33+J33)/1000)*(J49/(J49-J51))*(1-EXP((J51-J49)*E60)))</f>
        <v>8.8817841970012523E-16</v>
      </c>
      <c r="G60" s="118"/>
      <c r="H60" s="143" t="s">
        <v>108</v>
      </c>
      <c r="I60" s="144">
        <f>I33*EXP(J51*E48)</f>
        <v>1297.7943640636997</v>
      </c>
      <c r="J60" s="418">
        <f>SQRT((J33*EXP(J51*E48))^2+(I33*EXP(J51*(E48+J63))-I60)^2)</f>
        <v>2.6902081676702378</v>
      </c>
      <c r="K60" s="145">
        <f>SQRT((J33*EXP(J51*E48))^2+(I33*EXP(J51*(E48-K63))-I60)^2)</f>
        <v>2.6900751358912789</v>
      </c>
    </row>
    <row r="61" spans="1:17" ht="15" customHeight="1">
      <c r="A61" s="113"/>
      <c r="B61" s="124"/>
      <c r="C61" s="146"/>
      <c r="D61" s="138" t="s">
        <v>109</v>
      </c>
      <c r="E61" s="139">
        <v>30684.592476694848</v>
      </c>
      <c r="F61" s="134">
        <f>D56-(1-EXP(-J49*E61)+((I33-J33)/1000)*(J49/(J49-J51))*(1-EXP((J51-J49)*E61)))</f>
        <v>8.8817841970012523E-16</v>
      </c>
      <c r="G61" s="118"/>
      <c r="H61" s="143" t="s">
        <v>110</v>
      </c>
      <c r="I61" s="288">
        <f>I33</f>
        <v>1123.8970030091502</v>
      </c>
      <c r="J61" s="289">
        <f>J33</f>
        <v>2.2970182862025914</v>
      </c>
      <c r="K61" s="147"/>
      <c r="L61" s="59"/>
    </row>
    <row r="62" spans="1:17" ht="15" customHeight="1">
      <c r="A62" s="113"/>
      <c r="B62" s="114" t="s">
        <v>111</v>
      </c>
      <c r="C62" s="115">
        <f>(E54+F54)*EXP(-J49*F63)</f>
        <v>5.0086163916210442E-6</v>
      </c>
      <c r="D62" s="148"/>
      <c r="E62" s="116"/>
      <c r="F62" s="124"/>
      <c r="G62" s="118"/>
      <c r="H62" s="149" t="s">
        <v>23</v>
      </c>
      <c r="I62" s="169">
        <f>I45</f>
        <v>0.82230562949681207</v>
      </c>
      <c r="J62" s="168">
        <f>J45</f>
        <v>1.3329493940418705E-3</v>
      </c>
      <c r="K62" s="147"/>
    </row>
    <row r="63" spans="1:17" ht="16.5" customHeight="1">
      <c r="A63" s="123"/>
      <c r="B63" s="124"/>
      <c r="C63" s="125" t="s">
        <v>99</v>
      </c>
      <c r="D63" s="126">
        <f>(D41-C62*I38)*J49/(I31*1000*J52)</f>
        <v>0.52339729866610096</v>
      </c>
      <c r="E63" s="125" t="s">
        <v>112</v>
      </c>
      <c r="F63" s="133">
        <v>30086.616456529904</v>
      </c>
      <c r="G63" s="134">
        <f>D63-(1-EXP(-J49*F63)+(I33/1000)*(J49/(J49-J51))*(1-EXP((J51-J49)*F63)))</f>
        <v>8.8817841970012523E-16</v>
      </c>
      <c r="H63" s="150" t="s">
        <v>113</v>
      </c>
      <c r="I63" s="151">
        <f>E48</f>
        <v>50978.377331913034</v>
      </c>
      <c r="J63" s="152">
        <f>SQRT((E49-E48)^2+(E52-E48)^2)</f>
        <v>122.64637622430513</v>
      </c>
      <c r="K63" s="153">
        <f>SQRT((E50-E48)^2+(E51-E48)^2)</f>
        <v>122.47107376398841</v>
      </c>
    </row>
    <row r="64" spans="1:17" ht="18" customHeight="1">
      <c r="A64" s="113"/>
      <c r="B64" s="114" t="s">
        <v>114</v>
      </c>
      <c r="C64" s="115">
        <f>(E54-F54)*EXP(-J49*F65)</f>
        <v>1.6525338927273234E-6</v>
      </c>
      <c r="D64" s="148"/>
      <c r="E64" s="116"/>
      <c r="F64" s="124"/>
      <c r="G64" s="141"/>
      <c r="H64" s="154" t="s">
        <v>115</v>
      </c>
      <c r="I64" s="155"/>
      <c r="J64" s="155"/>
      <c r="K64" s="156"/>
    </row>
    <row r="65" spans="1:26" ht="17.25" customHeight="1">
      <c r="A65" s="123"/>
      <c r="B65" s="124"/>
      <c r="C65" s="125" t="s">
        <v>99</v>
      </c>
      <c r="D65" s="126">
        <f>(D41-C64*I38)*J49/(I31*1000*J52)</f>
        <v>0.54059866501471798</v>
      </c>
      <c r="E65" s="125" t="s">
        <v>112</v>
      </c>
      <c r="F65" s="157">
        <v>31202.977968688883</v>
      </c>
      <c r="G65" s="134">
        <f>D65-(1-EXP(-J49*F65)+(I33/1000)*(J49/(J49-J51))*(1-EXP((J51-J49)*F65)))</f>
        <v>1.1102230246251565E-15</v>
      </c>
      <c r="H65" s="158" t="s">
        <v>21</v>
      </c>
      <c r="I65" s="159">
        <f>E57</f>
        <v>30646.470373676002</v>
      </c>
      <c r="J65" s="229">
        <f>SQRT((E58-E57)^2+(E61-E57)^2+(F65-E57)^2)</f>
        <v>788.33956795467691</v>
      </c>
      <c r="K65" s="230">
        <f>SQRT((E60-E57)^2+(E59-E57)^2+(F63-E57)^2)</f>
        <v>789.04428849934834</v>
      </c>
    </row>
    <row r="66" spans="1:26" ht="17.25" customHeight="1" thickBot="1">
      <c r="A66" s="160"/>
      <c r="B66" s="161"/>
      <c r="C66" s="161"/>
      <c r="D66" s="162"/>
      <c r="E66" s="163"/>
      <c r="F66" s="163"/>
      <c r="G66" s="161"/>
      <c r="H66" s="164" t="s">
        <v>116</v>
      </c>
      <c r="I66" s="165">
        <f>I33*EXP(J51*E57)</f>
        <v>1225.4257173330705</v>
      </c>
      <c r="J66" s="166">
        <f>SQRT((J33*EXP(J51*E57))^2+(I33*EXP(J51*(I65+J65))-I66)^2)</f>
        <v>3.7042761257490628</v>
      </c>
      <c r="K66" s="167">
        <f>SQRT((J33*EXP(J51*E57))^2+(I33*EXP(J51*(I65-K65))-I66)^2)</f>
        <v>3.7015997573988333</v>
      </c>
      <c r="M66" s="39"/>
      <c r="N66" s="41"/>
      <c r="O66" s="52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</row>
    <row r="67" spans="1:26" ht="14.25" customHeight="1" thickTop="1">
      <c r="A67" s="36"/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</row>
    <row r="68" spans="1:26" ht="9" customHeight="1" thickBot="1">
      <c r="A68" s="36"/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</row>
    <row r="69" spans="1:26" ht="15" customHeight="1">
      <c r="A69" s="231"/>
      <c r="B69" s="232"/>
      <c r="C69" s="232"/>
      <c r="D69" s="233"/>
      <c r="E69" s="232"/>
      <c r="F69" s="233"/>
      <c r="G69" s="233"/>
      <c r="H69" s="232"/>
      <c r="I69" s="233"/>
      <c r="J69" s="233"/>
      <c r="K69" s="233"/>
      <c r="L69" s="233"/>
      <c r="M69" s="233"/>
      <c r="N69" s="36"/>
      <c r="O69" s="36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</row>
    <row r="70" spans="1:26" ht="4.5" customHeight="1">
      <c r="A70" s="177"/>
      <c r="B70" s="177"/>
      <c r="C70" s="173"/>
      <c r="D70" s="174"/>
      <c r="E70" s="174"/>
      <c r="F70" s="175"/>
      <c r="G70" s="176"/>
      <c r="H70" s="179"/>
      <c r="I70" s="177"/>
      <c r="J70" s="178"/>
      <c r="K70" s="179"/>
      <c r="L70" s="180"/>
      <c r="M70" s="179"/>
    </row>
    <row r="71" spans="1:26" ht="12.75" customHeight="1">
      <c r="A71" s="204"/>
      <c r="B71" s="205"/>
      <c r="C71" s="205"/>
      <c r="D71" s="205"/>
      <c r="E71" s="206"/>
      <c r="F71" s="206"/>
      <c r="G71" s="206"/>
      <c r="H71" s="207"/>
      <c r="I71" s="204"/>
      <c r="J71" s="204"/>
      <c r="K71" s="204"/>
      <c r="L71" s="208"/>
      <c r="M71" s="209"/>
    </row>
    <row r="72" spans="1:26" ht="12.75" customHeight="1">
      <c r="A72" s="182" t="s">
        <v>123</v>
      </c>
      <c r="B72" s="561" t="s">
        <v>124</v>
      </c>
      <c r="C72" s="559"/>
      <c r="D72" s="561" t="s">
        <v>125</v>
      </c>
      <c r="E72" s="561"/>
      <c r="F72" s="561" t="s">
        <v>135</v>
      </c>
      <c r="G72" s="561"/>
      <c r="H72" s="557" t="s">
        <v>131</v>
      </c>
      <c r="I72" s="557"/>
      <c r="J72" s="561" t="s">
        <v>132</v>
      </c>
      <c r="K72" s="561"/>
      <c r="L72" s="561" t="s">
        <v>126</v>
      </c>
      <c r="M72" s="561"/>
      <c r="N72" s="561" t="s">
        <v>126</v>
      </c>
      <c r="O72" s="561"/>
      <c r="P72" s="557" t="s">
        <v>133</v>
      </c>
      <c r="Q72" s="559"/>
    </row>
    <row r="73" spans="1:26" ht="12.75" customHeight="1">
      <c r="A73" s="555" t="s">
        <v>119</v>
      </c>
      <c r="B73" s="558" t="s">
        <v>120</v>
      </c>
      <c r="C73" s="560"/>
      <c r="D73" s="558" t="s">
        <v>121</v>
      </c>
      <c r="E73" s="558"/>
      <c r="F73" s="558" t="s">
        <v>134</v>
      </c>
      <c r="G73" s="558"/>
      <c r="H73" s="558" t="s">
        <v>127</v>
      </c>
      <c r="I73" s="558"/>
      <c r="J73" s="558" t="s">
        <v>128</v>
      </c>
      <c r="K73" s="558"/>
      <c r="L73" s="558" t="s">
        <v>122</v>
      </c>
      <c r="M73" s="558"/>
      <c r="N73" s="558" t="s">
        <v>129</v>
      </c>
      <c r="O73" s="558"/>
      <c r="P73" s="558" t="s">
        <v>129</v>
      </c>
      <c r="Q73" s="560"/>
    </row>
    <row r="74" spans="1:26" ht="9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26" ht="12.75" customHeight="1">
      <c r="A75" s="250" t="str">
        <f>C2</f>
        <v>Sample No</v>
      </c>
      <c r="B75" s="210">
        <f>I59</f>
        <v>1225.9753852153774</v>
      </c>
      <c r="C75" s="210">
        <f>J59</f>
        <v>1.3212143128156013</v>
      </c>
      <c r="D75" s="211">
        <f>I57</f>
        <v>103604.38299295795</v>
      </c>
      <c r="E75" s="234">
        <f>J57</f>
        <v>2074.8864316293939</v>
      </c>
      <c r="F75" s="210">
        <f>I58</f>
        <v>107.12634811255396</v>
      </c>
      <c r="G75" s="210">
        <f>J58</f>
        <v>2.1493390313303995</v>
      </c>
      <c r="H75" s="235">
        <f>I61</f>
        <v>1123.8970030091502</v>
      </c>
      <c r="I75" s="212">
        <f>J61</f>
        <v>2.2970182862025914</v>
      </c>
      <c r="J75" s="213">
        <f>I62</f>
        <v>0.82230562949681207</v>
      </c>
      <c r="K75" s="214">
        <f>J62</f>
        <v>1.3329493940418705E-3</v>
      </c>
      <c r="L75" s="215">
        <f>I63</f>
        <v>50978.377331913034</v>
      </c>
      <c r="M75" s="211">
        <f>(J63+K63)/2</f>
        <v>122.55872499414677</v>
      </c>
      <c r="N75" s="211">
        <f>I65</f>
        <v>30646.470373676002</v>
      </c>
      <c r="O75" s="211">
        <f>(J65+K65)/2</f>
        <v>788.69192822701257</v>
      </c>
      <c r="P75" s="210">
        <f>I66</f>
        <v>1225.4257173330705</v>
      </c>
      <c r="Q75" s="216">
        <f>(J66+K66)/2</f>
        <v>3.7029379415739481</v>
      </c>
    </row>
    <row r="76" spans="1:26" ht="9.75" customHeight="1">
      <c r="A76" s="217"/>
      <c r="B76" s="217"/>
      <c r="C76" s="217"/>
      <c r="D76" s="217"/>
      <c r="E76" s="217"/>
      <c r="F76" s="217"/>
      <c r="G76" s="217"/>
      <c r="H76" s="217"/>
      <c r="I76" s="217"/>
      <c r="J76" s="217"/>
      <c r="K76" s="217"/>
      <c r="L76" s="217"/>
      <c r="M76" s="217"/>
      <c r="N76" s="217"/>
      <c r="O76" s="217"/>
      <c r="P76" s="217"/>
      <c r="Q76" s="217"/>
    </row>
  </sheetData>
  <mergeCells count="16">
    <mergeCell ref="N72:O72"/>
    <mergeCell ref="P72:Q72"/>
    <mergeCell ref="B73:C73"/>
    <mergeCell ref="D73:E73"/>
    <mergeCell ref="F73:G73"/>
    <mergeCell ref="H73:I73"/>
    <mergeCell ref="J73:K73"/>
    <mergeCell ref="L73:M73"/>
    <mergeCell ref="N73:O73"/>
    <mergeCell ref="P73:Q73"/>
    <mergeCell ref="B72:C72"/>
    <mergeCell ref="D72:E72"/>
    <mergeCell ref="F72:G72"/>
    <mergeCell ref="H72:I72"/>
    <mergeCell ref="J72:K72"/>
    <mergeCell ref="L72:M72"/>
  </mergeCells>
  <printOptions horizontalCentered="1" verticalCentered="1" gridLinesSet="0"/>
  <pageMargins left="0.25" right="0.25" top="0.25" bottom="0.25" header="0.25" footer="0.25"/>
  <pageSetup orientation="portrait" horizontalDpi="4294967292" vertic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Line="0" autoPict="0" macro="[0]!AgeCalculate">
                <anchor moveWithCells="1" sizeWithCells="1">
                  <from>
                    <xdr:col>7</xdr:col>
                    <xdr:colOff>104775</xdr:colOff>
                    <xdr:row>47</xdr:row>
                    <xdr:rowOff>133350</xdr:rowOff>
                  </from>
                  <to>
                    <xdr:col>7</xdr:col>
                    <xdr:colOff>1295400</xdr:colOff>
                    <xdr:row>51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</vt:i4>
      </vt:variant>
    </vt:vector>
  </HeadingPairs>
  <TitlesOfParts>
    <vt:vector size="8" baseType="lpstr">
      <vt:lpstr>Table</vt:lpstr>
      <vt:lpstr>1</vt:lpstr>
      <vt:lpstr>1-th</vt:lpstr>
      <vt:lpstr>1-u</vt:lpstr>
      <vt:lpstr>112a-D-III-spike</vt:lpstr>
      <vt:lpstr>1 (2)</vt:lpstr>
      <vt:lpstr>'1'!Druckbereich</vt:lpstr>
      <vt:lpstr>'1 (2)'!Druckbereich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Geology</dc:creator>
  <cp:lastModifiedBy>Töchterle, Paul</cp:lastModifiedBy>
  <cp:lastPrinted>2008-05-11T15:18:15Z</cp:lastPrinted>
  <dcterms:created xsi:type="dcterms:W3CDTF">1998-02-10T21:06:43Z</dcterms:created>
  <dcterms:modified xsi:type="dcterms:W3CDTF">2020-08-06T09:45:04Z</dcterms:modified>
</cp:coreProperties>
</file>